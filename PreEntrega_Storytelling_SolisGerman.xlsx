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3elk\Documents\Data Analisys\Excel\Trabajo N9\"/>
    </mc:Choice>
  </mc:AlternateContent>
  <xr:revisionPtr revIDLastSave="0" documentId="13_ncr:1_{8586CAA1-01C6-466D-BAF8-CCF89AE080AE}" xr6:coauthVersionLast="47" xr6:coauthVersionMax="47" xr10:uidLastSave="{00000000-0000-0000-0000-000000000000}"/>
  <bookViews>
    <workbookView xWindow="-108" yWindow="-108" windowWidth="23256" windowHeight="12456" firstSheet="3" activeTab="3" xr2:uid="{3BF89696-605B-4093-A45A-3E0A029B0FE4}"/>
  </bookViews>
  <sheets>
    <sheet name="Estadistica_Descriptiva" sheetId="1" state="hidden" r:id="rId1"/>
    <sheet name="Hoja1" sheetId="9" state="hidden" r:id="rId2"/>
    <sheet name="TD_Dashboard" sheetId="7" state="hidden" r:id="rId3"/>
    <sheet name="Dashboard Final" sheetId="8" r:id="rId4"/>
    <sheet name="Resumen del escenario" sheetId="6" state="hidden" r:id="rId5"/>
    <sheet name="Simulacion_Financiera" sheetId="4" state="hidden" r:id="rId6"/>
  </sheets>
  <definedNames>
    <definedName name="DatosExternos_1" localSheetId="1" hidden="1">Hoja1!$A$3:$K$1003</definedName>
    <definedName name="SegmentaciónDeDatos_Categoría">#N/A</definedName>
    <definedName name="SegmentaciónDeDatos_ID_Proveedor">#N/A</definedName>
    <definedName name="SegmentaciónDeDatos_Unidades_vendidas">#N/A</definedName>
  </definedNames>
  <calcPr calcId="191029"/>
  <pivotCaches>
    <pivotCache cacheId="129" r:id="rId7"/>
    <pivotCache cacheId="135" r:id="rId8"/>
    <pivotCache cacheId="147" r:id="rId9"/>
  </pivotCaches>
  <extLst>
    <ext xmlns:x14="http://schemas.microsoft.com/office/spreadsheetml/2009/9/main" uri="{876F7934-8845-4945-9796-88D515C7AA90}">
      <x14:pivotCaches>
        <pivotCache cacheId="1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1 Retail Inventory  1_ac16737d-260e-4cbe-b3ac-34b5789a2f62" name="01 Retail Inventory  1" connection="Consulta - 01 Retail Inventory (1)"/>
          <x15:modelTable id="Dim_Categoria_0b29a164-d700-4325-b1cb-14c346ec59c7" name="Dim_Categoria" connection="Consulta - Dim_Categoria"/>
          <x15:modelTable id="Dim_Proveedor_10e940ea-f33b-490d-9e8d-0b1974cdae3e" name="Dim_Proveedor" connection="Consulta - Dim_Proveedor"/>
          <x15:modelTable id="Fact_Inventario_5289ba60-1dbe-469b-8896-994e4105040d" name="Fact_Inventario" connection="Consulta - Fact_Inventario"/>
        </x15:modelTables>
        <x15:modelRelationships>
          <x15:modelRelationship fromTable="Fact_Inventario" fromColumn="ID_Categoria" toTable="Dim_Categoria" toColumn="ID_Categoria"/>
          <x15:modelRelationship fromTable="Fact_Inventario" fromColumn="ID_Proveedor" toTable="Dim_Proveedor" toColumn="ID_Proveedo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" i="8" l="1"/>
  <c r="F5" i="8"/>
  <c r="C5" i="8"/>
  <c r="A5" i="8"/>
  <c r="B7" i="4"/>
  <c r="B6" i="4"/>
  <c r="B8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328E15-2106-4764-9B8D-A172C53EAAC6}" name="Consulta - 01 Retail Inventory (1)" description="Conexión a la consulta '01 Retail Inventory (1)' en el libro." type="100" refreshedVersion="8" minRefreshableVersion="5">
    <extLst>
      <ext xmlns:x15="http://schemas.microsoft.com/office/spreadsheetml/2010/11/main" uri="{DE250136-89BD-433C-8126-D09CA5730AF9}">
        <x15:connection id="b832eefb-d997-4953-ba54-d87b0c29dc45"/>
      </ext>
    </extLst>
  </connection>
  <connection id="2" xr16:uid="{03C199AA-9310-4FDB-9234-D19439959287}" name="Consulta - Dim_Categoria" description="Conexión a la consulta 'Dim_Categoria' en el libro." type="100" refreshedVersion="8" minRefreshableVersion="5">
    <extLst>
      <ext xmlns:x15="http://schemas.microsoft.com/office/spreadsheetml/2010/11/main" uri="{DE250136-89BD-433C-8126-D09CA5730AF9}">
        <x15:connection id="cd1c0e8a-a853-40a4-8636-a9df175c1c87"/>
      </ext>
    </extLst>
  </connection>
  <connection id="3" xr16:uid="{DC424733-06D2-41FC-9851-66945F3AF450}" name="Consulta - Dim_Proveedor" description="Conexión a la consulta 'Dim_Proveedor' en el libro." type="100" refreshedVersion="8" minRefreshableVersion="5">
    <extLst>
      <ext xmlns:x15="http://schemas.microsoft.com/office/spreadsheetml/2010/11/main" uri="{DE250136-89BD-433C-8126-D09CA5730AF9}">
        <x15:connection id="8205f4bc-1135-4538-99dd-0c066cc388cb"/>
      </ext>
    </extLst>
  </connection>
  <connection id="4" xr16:uid="{E44C71EF-3E3A-42F2-B196-88A85BC67F40}" name="Consulta - Fact_Inventario" description="Conexión a la consulta 'Fact_Inventario' en el libro." type="100" refreshedVersion="8" minRefreshableVersion="5">
    <extLst>
      <ext xmlns:x15="http://schemas.microsoft.com/office/spreadsheetml/2010/11/main" uri="{DE250136-89BD-433C-8126-D09CA5730AF9}">
        <x15:connection id="0b7cb87b-81c2-4f5e-b277-e952ebc16952"/>
      </ext>
    </extLst>
  </connection>
  <connection id="5" xr16:uid="{18C1B0AD-19C6-4EE3-A47B-77D9DA20E3BB}" keepAlive="1" name="ModelConnection_DatosExternos_1" description="Modelo de datos" type="5" refreshedVersion="8" minRefreshableVersion="5" saveData="1">
    <dbPr connection="Data Model Connection" command="DRILLTHROUGH MAXROWS 1000 SELECT FROM [Model] WHERE ([Measures].[Margen Neto]) RETURN [$Fact_Inventario].[Costo unitario],[$Fact_Inventario].[Estado del stock],[$Fact_Inventario].[ID del producto],[$Fact_Inventario].[ID_Categoria],[$Fact_Inventario].[ID_Proveedor],[$Fact_Inventario].[Nombre del producto],[$Fact_Inventario].[Precio minorista],[$Fact_Inventario].[Punto de reposición],[$Fact_Inventario].[Stock final],[$Fact_Inventario].[Stock inicial],[$Fact_Inventario].[Unidades vendidas]" commandType="4"/>
    <extLst>
      <ext xmlns:x15="http://schemas.microsoft.com/office/spreadsheetml/2010/11/main" uri="{DE250136-89BD-433C-8126-D09CA5730AF9}">
        <x15:connection id="" model="1"/>
      </ext>
    </extLst>
  </connection>
  <connection id="6" xr16:uid="{7A2E8EB1-F2F4-41A0-8BCB-6673A6BD5C1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<sst xmlns="http://schemas.openxmlformats.org/spreadsheetml/2006/main" count="4089" uniqueCount="1163">
  <si>
    <t>Unidades vendidas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</si>
  <si>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</si>
  <si>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</si>
  <si>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</si>
  <si>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</si>
  <si>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</si>
  <si>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</si>
  <si>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</si>
  <si>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</si>
  <si>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</si>
  <si>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</si>
  <si>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</si>
  <si>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</si>
  <si>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</si>
  <si>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Concepto</t>
  </si>
  <si>
    <t>Valor</t>
  </si>
  <si>
    <t>Unidades Vendidas</t>
  </si>
  <si>
    <t>Precio Promedio ($)</t>
  </si>
  <si>
    <t>Costo Promedio ($)</t>
  </si>
  <si>
    <t>Variación de Costos (%)</t>
  </si>
  <si>
    <t>Ingresos Totales</t>
  </si>
  <si>
    <t>Costos Totales</t>
  </si>
  <si>
    <t>Beneficio Neto</t>
  </si>
  <si>
    <t>Base</t>
  </si>
  <si>
    <t>Creado por German Agustin Solis el 15/9/2026</t>
  </si>
  <si>
    <t>Pesimista</t>
  </si>
  <si>
    <t>Optimista</t>
  </si>
  <si>
    <t>Resumen del escenario</t>
  </si>
  <si>
    <t>Celdas cambiantes:</t>
  </si>
  <si>
    <t>Valores actuales:</t>
  </si>
  <si>
    <t>Celdas de resultado:</t>
  </si>
  <si>
    <t>Notas: La columna de valores actuales representa los valores de las celdas cambiantes</t>
  </si>
  <si>
    <t>en el momento en que se creó el Informe resumen de escenario. Las celdas cambiantes de</t>
  </si>
  <si>
    <t>cada escenario se muestran en gris.</t>
  </si>
  <si>
    <t>Creado por German Agustin Solis el 15/9/2026
Modificado por German Agustin Solis el 15/9/2026</t>
  </si>
  <si>
    <t>Etiquetas de fila</t>
  </si>
  <si>
    <t>Total general</t>
  </si>
  <si>
    <t>Total Ventas</t>
  </si>
  <si>
    <t>Margen Neto</t>
  </si>
  <si>
    <t>% Margen Ganancia</t>
  </si>
  <si>
    <t>Belleza</t>
  </si>
  <si>
    <t>Comestibles</t>
  </si>
  <si>
    <t>Deportes y aire libre</t>
  </si>
  <si>
    <t>Electrónica</t>
  </si>
  <si>
    <t>Hogar y cocina</t>
  </si>
  <si>
    <t>Juguetes y juegos</t>
  </si>
  <si>
    <t>Ropa</t>
  </si>
  <si>
    <t>Suministros de oficina</t>
  </si>
  <si>
    <t>Suma de Unidades vendidas</t>
  </si>
  <si>
    <t>DASHBOARD EJECUTIVO DE VENTAS Y MÁRGENES</t>
  </si>
  <si>
    <t>FILTROS / CONTROLES</t>
  </si>
  <si>
    <t>TOTAL VENTAS</t>
  </si>
  <si>
    <t>MARGEN NETO</t>
  </si>
  <si>
    <t>% MARGEN GANANCIA</t>
  </si>
  <si>
    <t>ESTADO META</t>
  </si>
  <si>
    <t>VENTAS Y MARGEN POR CATEGORÍA</t>
  </si>
  <si>
    <t>VOLUMEN POR CATEGORÍA</t>
  </si>
  <si>
    <t>💡 NOTAS DE ANÁLISIS E INSIGHTS DE IA · ABOGADO DEL DIABLO</t>
  </si>
  <si>
    <t>Lectura ejecutiva: margen objetivo 40% · validar rotación y reposición antes de escalar promociones.</t>
  </si>
  <si>
    <t>Fact_Inventario[Costo unitario]</t>
  </si>
  <si>
    <t>Fact_Inventario[Estado del stock]</t>
  </si>
  <si>
    <t>Fact_Inventario[ID del producto]</t>
  </si>
  <si>
    <t>Fact_Inventario[ID_Categoria]</t>
  </si>
  <si>
    <t>Fact_Inventario[ID_Proveedor]</t>
  </si>
  <si>
    <t>Fact_Inventario[Nombre del producto]</t>
  </si>
  <si>
    <t>Fact_Inventario[Precio minorista]</t>
  </si>
  <si>
    <t>Fact_Inventario[Punto de reposición]</t>
  </si>
  <si>
    <t>Fact_Inventario[Stock final]</t>
  </si>
  <si>
    <t>Fact_Inventario[Stock inicial]</t>
  </si>
  <si>
    <t>Fact_Inventario[Unidades vendidas]</t>
  </si>
  <si>
    <t>En stock</t>
  </si>
  <si>
    <t>PRD-1003</t>
  </si>
  <si>
    <t>3</t>
  </si>
  <si>
    <t>Banda de resistencia</t>
  </si>
  <si>
    <t>PRD-1008</t>
  </si>
  <si>
    <t>Calcetines de senderismo</t>
  </si>
  <si>
    <t>PRD-1006</t>
  </si>
  <si>
    <t>5</t>
  </si>
  <si>
    <t>Fruta deshidratada</t>
  </si>
  <si>
    <t>PRD-1016</t>
  </si>
  <si>
    <t>2</t>
  </si>
  <si>
    <t>Limpiador facial</t>
  </si>
  <si>
    <t>PRD-1028</t>
  </si>
  <si>
    <t>6</t>
  </si>
  <si>
    <t>Dispensador de cinta</t>
  </si>
  <si>
    <t>PRD-1035</t>
  </si>
  <si>
    <t>PRD-1043</t>
  </si>
  <si>
    <t>4</t>
  </si>
  <si>
    <t>Rompecabezas de 500 piezas</t>
  </si>
  <si>
    <t>PRD-1044</t>
  </si>
  <si>
    <t>8</t>
  </si>
  <si>
    <t>Adaptador Bluetooth</t>
  </si>
  <si>
    <t>PRD-1055</t>
  </si>
  <si>
    <t>7</t>
  </si>
  <si>
    <t>Camisa polo</t>
  </si>
  <si>
    <t>PRD-1058</t>
  </si>
  <si>
    <t>Botella de agua</t>
  </si>
  <si>
    <t>PRD-1060</t>
  </si>
  <si>
    <t>Bruma corporal</t>
  </si>
  <si>
    <t>PRD-1065</t>
  </si>
  <si>
    <t>Carpetas de archivo</t>
  </si>
  <si>
    <t>PRD-1077</t>
  </si>
  <si>
    <t>Silbato</t>
  </si>
  <si>
    <t>PRD-1079</t>
  </si>
  <si>
    <t>Champú seco</t>
  </si>
  <si>
    <t>PRD-1081</t>
  </si>
  <si>
    <t>Bálsamo labial</t>
  </si>
  <si>
    <t>PRD-1091</t>
  </si>
  <si>
    <t>Gorra de béisbol</t>
  </si>
  <si>
    <t>PRD-1092</t>
  </si>
  <si>
    <t>Figura de acción</t>
  </si>
  <si>
    <t>PRD-1098</t>
  </si>
  <si>
    <t>Peluche</t>
  </si>
  <si>
    <t>PRD-1099</t>
  </si>
  <si>
    <t>Juego de limas de uñas</t>
  </si>
  <si>
    <t>PRD-1115</t>
  </si>
  <si>
    <t>Bolsitas de té verde</t>
  </si>
  <si>
    <t>PRD-1157</t>
  </si>
  <si>
    <t>Taza de camping</t>
  </si>
  <si>
    <t>PRD-1168</t>
  </si>
  <si>
    <t>Pinzas sujetapapeles</t>
  </si>
  <si>
    <t>PRD-1170</t>
  </si>
  <si>
    <t>Kit de slime</t>
  </si>
  <si>
    <t>PRD-1186</t>
  </si>
  <si>
    <t>PRD-1188</t>
  </si>
  <si>
    <t>Jeans de mezclilla</t>
  </si>
  <si>
    <t>PRD-1198</t>
  </si>
  <si>
    <t>Cable USB</t>
  </si>
  <si>
    <t>PRD-1202</t>
  </si>
  <si>
    <t>PRD-1208</t>
  </si>
  <si>
    <t>1</t>
  </si>
  <si>
    <t>Detergente para platos</t>
  </si>
  <si>
    <t>PRD-1227</t>
  </si>
  <si>
    <t>Enchufe inteligente</t>
  </si>
  <si>
    <t>PRD-1230</t>
  </si>
  <si>
    <t>PRD-1235</t>
  </si>
  <si>
    <t>Cepillo para el cabello</t>
  </si>
  <si>
    <t>PRD-1237</t>
  </si>
  <si>
    <t>Juego de mesa clásico</t>
  </si>
  <si>
    <t>PRD-1249</t>
  </si>
  <si>
    <t>Aceite de oliva</t>
  </si>
  <si>
    <t>PRD-1250</t>
  </si>
  <si>
    <t>PRD-1255</t>
  </si>
  <si>
    <t>Bandeja para servir</t>
  </si>
  <si>
    <t>PRD-1266</t>
  </si>
  <si>
    <t>PRD-1269</t>
  </si>
  <si>
    <t>PRD-1277</t>
  </si>
  <si>
    <t>Set para colorear</t>
  </si>
  <si>
    <t>PRD-1294</t>
  </si>
  <si>
    <t>Lámpara de escritorio LED</t>
  </si>
  <si>
    <t>PRD-1303</t>
  </si>
  <si>
    <t>PRD-1311</t>
  </si>
  <si>
    <t>Salsa para pasta</t>
  </si>
  <si>
    <t>PRD-1316</t>
  </si>
  <si>
    <t>Especiero</t>
  </si>
  <si>
    <t>PRD-1338</t>
  </si>
  <si>
    <t>Sudadera con capucha</t>
  </si>
  <si>
    <t>PRD-1342</t>
  </si>
  <si>
    <t>PRD-1345</t>
  </si>
  <si>
    <t>PRD-1367</t>
  </si>
  <si>
    <t>Antifaz para dormir</t>
  </si>
  <si>
    <t>PRD-1395</t>
  </si>
  <si>
    <t>PRD-1406</t>
  </si>
  <si>
    <t>PRD-1418</t>
  </si>
  <si>
    <t>Protector de pantalla</t>
  </si>
  <si>
    <t>PRD-1431</t>
  </si>
  <si>
    <t>Gorro de lana</t>
  </si>
  <si>
    <t>PRD-1432</t>
  </si>
  <si>
    <t>Gorro de natación</t>
  </si>
  <si>
    <t>PRD-1434</t>
  </si>
  <si>
    <t>PRD-1443</t>
  </si>
  <si>
    <t>Shorts de lino</t>
  </si>
  <si>
    <t>PRD-1449</t>
  </si>
  <si>
    <t>Copas de vino</t>
  </si>
  <si>
    <t>PRD-1453</t>
  </si>
  <si>
    <t>Clips</t>
  </si>
  <si>
    <t>PRD-1463</t>
  </si>
  <si>
    <t>Batería portátil</t>
  </si>
  <si>
    <t>PRD-1476</t>
  </si>
  <si>
    <t>PRD-1486</t>
  </si>
  <si>
    <t>Avena instantánea</t>
  </si>
  <si>
    <t>PRD-1499</t>
  </si>
  <si>
    <t>PRD-1513</t>
  </si>
  <si>
    <t>PRD-1527</t>
  </si>
  <si>
    <t>PRD-1547</t>
  </si>
  <si>
    <t>PRD-1550</t>
  </si>
  <si>
    <t>Crema de manos</t>
  </si>
  <si>
    <t>PRD-1552</t>
  </si>
  <si>
    <t>PRD-1579</t>
  </si>
  <si>
    <t>Auriculares inalámbricos</t>
  </si>
  <si>
    <t>PRD-1587</t>
  </si>
  <si>
    <t>PRD-1593</t>
  </si>
  <si>
    <t>Bandeja para hornear</t>
  </si>
  <si>
    <t>PRD-1633</t>
  </si>
  <si>
    <t>PRD-1636</t>
  </si>
  <si>
    <t>PRD-1654</t>
  </si>
  <si>
    <t>PRD-1659</t>
  </si>
  <si>
    <t>Tees de golf</t>
  </si>
  <si>
    <t>PRD-1663</t>
  </si>
  <si>
    <t>PRD-1687</t>
  </si>
  <si>
    <t>PRD-1700</t>
  </si>
  <si>
    <t>PRD-1712</t>
  </si>
  <si>
    <t>Notas adhesivas</t>
  </si>
  <si>
    <t>PRD-1719</t>
  </si>
  <si>
    <t>PRD-1728</t>
  </si>
  <si>
    <t>PRD-1734</t>
  </si>
  <si>
    <t>Organizador de escritorio</t>
  </si>
  <si>
    <t>PRD-1735</t>
  </si>
  <si>
    <t>PRD-1738</t>
  </si>
  <si>
    <t>PRD-1751</t>
  </si>
  <si>
    <t>Resaltadores</t>
  </si>
  <si>
    <t>PRD-1762</t>
  </si>
  <si>
    <t>PRD-1764</t>
  </si>
  <si>
    <t>PRD-1770</t>
  </si>
  <si>
    <t>Paños de cocina</t>
  </si>
  <si>
    <t>PRD-1773</t>
  </si>
  <si>
    <t>PRD-1782</t>
  </si>
  <si>
    <t>PRD-1785</t>
  </si>
  <si>
    <t>PRD-1812</t>
  </si>
  <si>
    <t>Cable HDMI</t>
  </si>
  <si>
    <t>PRD-1817</t>
  </si>
  <si>
    <t>PRD-1834</t>
  </si>
  <si>
    <t>Camiseta básica</t>
  </si>
  <si>
    <t>PRD-1839</t>
  </si>
  <si>
    <t>PRD-1861</t>
  </si>
  <si>
    <t>PRD-1877</t>
  </si>
  <si>
    <t>PRD-1883</t>
  </si>
  <si>
    <t>PRD-1892</t>
  </si>
  <si>
    <t>Recipiente de almacenamiento</t>
  </si>
  <si>
    <t>PRD-1900</t>
  </si>
  <si>
    <t>PRD-1934</t>
  </si>
  <si>
    <t>PRD-1942</t>
  </si>
  <si>
    <t>PRD-1978</t>
  </si>
  <si>
    <t>Discos de algodón</t>
  </si>
  <si>
    <t>PRD-1985</t>
  </si>
  <si>
    <t>PRD-1989</t>
  </si>
  <si>
    <t>PRD-1993</t>
  </si>
  <si>
    <t>Kit de burbujas</t>
  </si>
  <si>
    <t>PRD-1010</t>
  </si>
  <si>
    <t>Bloque de yoga</t>
  </si>
  <si>
    <t>PRD-1011</t>
  </si>
  <si>
    <t>PRD-1050</t>
  </si>
  <si>
    <t>PRD-1051</t>
  </si>
  <si>
    <t>PRD-1054</t>
  </si>
  <si>
    <t>PRD-1074</t>
  </si>
  <si>
    <t>PRD-1084</t>
  </si>
  <si>
    <t>PRD-1089</t>
  </si>
  <si>
    <t>PRD-1110</t>
  </si>
  <si>
    <t>Juego de tazas</t>
  </si>
  <si>
    <t>PRD-1111</t>
  </si>
  <si>
    <t>PRD-1140</t>
  </si>
  <si>
    <t>PRD-1154</t>
  </si>
  <si>
    <t>Calcetines para correr</t>
  </si>
  <si>
    <t>PRD-1158</t>
  </si>
  <si>
    <t>PRD-1167</t>
  </si>
  <si>
    <t>PRD-1180</t>
  </si>
  <si>
    <t>PRD-1199</t>
  </si>
  <si>
    <t>Sopa enlatada</t>
  </si>
  <si>
    <t>PRD-1214</t>
  </si>
  <si>
    <t>PRD-1218</t>
  </si>
  <si>
    <t>PRD-1220</t>
  </si>
  <si>
    <t>PRD-1221</t>
  </si>
  <si>
    <t>Galletas de arroz</t>
  </si>
  <si>
    <t>PRD-1229</t>
  </si>
  <si>
    <t>PRD-1234</t>
  </si>
  <si>
    <t>Luz para bicicleta</t>
  </si>
  <si>
    <t>PRD-1242</t>
  </si>
  <si>
    <t>PRD-1248</t>
  </si>
  <si>
    <t>PRD-1264</t>
  </si>
  <si>
    <t>Yo-yo</t>
  </si>
  <si>
    <t>PRD-1272</t>
  </si>
  <si>
    <t>PRD-1287</t>
  </si>
  <si>
    <t>PRD-1288</t>
  </si>
  <si>
    <t>PRD-1290</t>
  </si>
  <si>
    <t>PRD-1291</t>
  </si>
  <si>
    <t>PRD-1314</t>
  </si>
  <si>
    <t>PRD-1318</t>
  </si>
  <si>
    <t>PRD-1328</t>
  </si>
  <si>
    <t>PRD-1336</t>
  </si>
  <si>
    <t>PRD-1340</t>
  </si>
  <si>
    <t>PRD-1347</t>
  </si>
  <si>
    <t>PRD-1348</t>
  </si>
  <si>
    <t>PRD-1358</t>
  </si>
  <si>
    <t>PRD-1363</t>
  </si>
  <si>
    <t>PRD-1364</t>
  </si>
  <si>
    <t>PRD-1390</t>
  </si>
  <si>
    <t>PRD-1391</t>
  </si>
  <si>
    <t>PRD-1407</t>
  </si>
  <si>
    <t>PRD-1414</t>
  </si>
  <si>
    <t>PRD-1415</t>
  </si>
  <si>
    <t>Juego de utensilios</t>
  </si>
  <si>
    <t>PRD-1448</t>
  </si>
  <si>
    <t>PRD-1452</t>
  </si>
  <si>
    <t>PRD-1457</t>
  </si>
  <si>
    <t>PRD-1494</t>
  </si>
  <si>
    <t>PRD-1502</t>
  </si>
  <si>
    <t>PRD-1522</t>
  </si>
  <si>
    <t>PRD-1530</t>
  </si>
  <si>
    <t>PRD-1535</t>
  </si>
  <si>
    <t>Tabla de cortar</t>
  </si>
  <si>
    <t>PRD-1537</t>
  </si>
  <si>
    <t>PRD-1540</t>
  </si>
  <si>
    <t>PRD-1545</t>
  </si>
  <si>
    <t>Baraja de cartas</t>
  </si>
  <si>
    <t>PRD-1548</t>
  </si>
  <si>
    <t>Cuaderno A5</t>
  </si>
  <si>
    <t>PRD-1556</t>
  </si>
  <si>
    <t>Bolígrafos</t>
  </si>
  <si>
    <t>PRD-1563</t>
  </si>
  <si>
    <t>PRD-1574</t>
  </si>
  <si>
    <t>PRD-1578</t>
  </si>
  <si>
    <t>PRD-1590</t>
  </si>
  <si>
    <t>PRD-1595</t>
  </si>
  <si>
    <t>PRD-1612</t>
  </si>
  <si>
    <t>PRD-1613</t>
  </si>
  <si>
    <t>PRD-1617</t>
  </si>
  <si>
    <t>PRD-1618</t>
  </si>
  <si>
    <t>PRD-1632</t>
  </si>
  <si>
    <t>PRD-1634</t>
  </si>
  <si>
    <t>PRD-1642</t>
  </si>
  <si>
    <t>PRD-1660</t>
  </si>
  <si>
    <t>PRD-1675</t>
  </si>
  <si>
    <t>PRD-1679</t>
  </si>
  <si>
    <t>PRD-1683</t>
  </si>
  <si>
    <t>PRD-1723</t>
  </si>
  <si>
    <t>PRD-1750</t>
  </si>
  <si>
    <t>PRD-1755</t>
  </si>
  <si>
    <t>PRD-1767</t>
  </si>
  <si>
    <t>PRD-1772</t>
  </si>
  <si>
    <t>PRD-1788</t>
  </si>
  <si>
    <t>PRD-1800</t>
  </si>
  <si>
    <t>PRD-1801</t>
  </si>
  <si>
    <t>Grapadora</t>
  </si>
  <si>
    <t>PRD-1810</t>
  </si>
  <si>
    <t>PRD-1826</t>
  </si>
  <si>
    <t>PRD-1836</t>
  </si>
  <si>
    <t>PRD-1846</t>
  </si>
  <si>
    <t>Bloques de construcción</t>
  </si>
  <si>
    <t>PRD-1860</t>
  </si>
  <si>
    <t>PRD-1876</t>
  </si>
  <si>
    <t>PRD-1879</t>
  </si>
  <si>
    <t>Tarro de miel</t>
  </si>
  <si>
    <t>PRD-1885</t>
  </si>
  <si>
    <t>PRD-1902</t>
  </si>
  <si>
    <t>PRD-1904</t>
  </si>
  <si>
    <t>PRD-1906</t>
  </si>
  <si>
    <t>PRD-1908</t>
  </si>
  <si>
    <t>PRD-1918</t>
  </si>
  <si>
    <t>PRD-1925</t>
  </si>
  <si>
    <t>Mezcla de frutos secos</t>
  </si>
  <si>
    <t>PRD-1940</t>
  </si>
  <si>
    <t>PRD-1953</t>
  </si>
  <si>
    <t>Funda para teléfono</t>
  </si>
  <si>
    <t>PRD-1964</t>
  </si>
  <si>
    <t>PRD-1013</t>
  </si>
  <si>
    <t>PRD-1019</t>
  </si>
  <si>
    <t>Desodorante</t>
  </si>
  <si>
    <t>PRD-1020</t>
  </si>
  <si>
    <t>PRD-1021</t>
  </si>
  <si>
    <t>PRD-1031</t>
  </si>
  <si>
    <t>PRD-1036</t>
  </si>
  <si>
    <t>PRD-1061</t>
  </si>
  <si>
    <t>PRD-1073</t>
  </si>
  <si>
    <t>PRD-1078</t>
  </si>
  <si>
    <t>PRD-1090</t>
  </si>
  <si>
    <t>PRD-1109</t>
  </si>
  <si>
    <t>PRD-1118</t>
  </si>
  <si>
    <t>PRD-1119</t>
  </si>
  <si>
    <t>PRD-1139</t>
  </si>
  <si>
    <t>PRD-1160</t>
  </si>
  <si>
    <t>PRD-1169</t>
  </si>
  <si>
    <t>PRD-1181</t>
  </si>
  <si>
    <t>PRD-1184</t>
  </si>
  <si>
    <t>PRD-1187</t>
  </si>
  <si>
    <t>PRD-1201</t>
  </si>
  <si>
    <t>PRD-1207</t>
  </si>
  <si>
    <t>PRD-1211</t>
  </si>
  <si>
    <t>PRD-1253</t>
  </si>
  <si>
    <t>PRD-1254</t>
  </si>
  <si>
    <t>PRD-1265</t>
  </si>
  <si>
    <t>PRD-1323</t>
  </si>
  <si>
    <t>PRD-1333</t>
  </si>
  <si>
    <t>PRD-1335</t>
  </si>
  <si>
    <t>PRD-1356</t>
  </si>
  <si>
    <t>PRD-1365</t>
  </si>
  <si>
    <t>PRD-1405</t>
  </si>
  <si>
    <t>PRD-1408</t>
  </si>
  <si>
    <t>PRD-1423</t>
  </si>
  <si>
    <t>PRD-1437</t>
  </si>
  <si>
    <t>PRD-1469</t>
  </si>
  <si>
    <t>PRD-1471</t>
  </si>
  <si>
    <t>PRD-1475</t>
  </si>
  <si>
    <t>PRD-1495</t>
  </si>
  <si>
    <t>PRD-1503</t>
  </si>
  <si>
    <t>PRD-1506</t>
  </si>
  <si>
    <t>PRD-1507</t>
  </si>
  <si>
    <t>PRD-1514</t>
  </si>
  <si>
    <t>PRD-1538</t>
  </si>
  <si>
    <t>PRD-1567</t>
  </si>
  <si>
    <t>PRD-1602</t>
  </si>
  <si>
    <t>PRD-1623</t>
  </si>
  <si>
    <t>PRD-1627</t>
  </si>
  <si>
    <t>PRD-1637</t>
  </si>
  <si>
    <t>PRD-1639</t>
  </si>
  <si>
    <t>PRD-1640</t>
  </si>
  <si>
    <t>PRD-1644</t>
  </si>
  <si>
    <t>PRD-1645</t>
  </si>
  <si>
    <t>PRD-1648</t>
  </si>
  <si>
    <t>PRD-1651</t>
  </si>
  <si>
    <t>PRD-1678</t>
  </si>
  <si>
    <t>PRD-1682</t>
  </si>
  <si>
    <t>PRD-1684</t>
  </si>
  <si>
    <t>PRD-1686</t>
  </si>
  <si>
    <t>PRD-1696</t>
  </si>
  <si>
    <t>Chaqueta con cierre</t>
  </si>
  <si>
    <t>PRD-1720</t>
  </si>
  <si>
    <t>PRD-1724</t>
  </si>
  <si>
    <t>PRD-1730</t>
  </si>
  <si>
    <t>PRD-1731</t>
  </si>
  <si>
    <t>PRD-1739</t>
  </si>
  <si>
    <t>PRD-1747</t>
  </si>
  <si>
    <t>PRD-1749</t>
  </si>
  <si>
    <t>PRD-1752</t>
  </si>
  <si>
    <t>PRD-1759</t>
  </si>
  <si>
    <t>Cinturón de lona</t>
  </si>
  <si>
    <t>PRD-1763</t>
  </si>
  <si>
    <t>PRD-1784</t>
  </si>
  <si>
    <t>PRD-1796</t>
  </si>
  <si>
    <t>PRD-1819</t>
  </si>
  <si>
    <t>PRD-1829</t>
  </si>
  <si>
    <t>PRD-1844</t>
  </si>
  <si>
    <t>PRD-1847</t>
  </si>
  <si>
    <t>PRD-1853</t>
  </si>
  <si>
    <t>PRD-1855</t>
  </si>
  <si>
    <t>PRD-1858</t>
  </si>
  <si>
    <t>PRD-1863</t>
  </si>
  <si>
    <t>PRD-1868</t>
  </si>
  <si>
    <t>PRD-1882</t>
  </si>
  <si>
    <t>PRD-1888</t>
  </si>
  <si>
    <t>PRD-1894</t>
  </si>
  <si>
    <t>PRD-1899</t>
  </si>
  <si>
    <t>PRD-1919</t>
  </si>
  <si>
    <t>PRD-1926</t>
  </si>
  <si>
    <t>PRD-1928</t>
  </si>
  <si>
    <t>PRD-1931</t>
  </si>
  <si>
    <t>PRD-1933</t>
  </si>
  <si>
    <t>Barras de granola</t>
  </si>
  <si>
    <t>PRD-1937</t>
  </si>
  <si>
    <t>PRD-1961</t>
  </si>
  <si>
    <t>PRD-1962</t>
  </si>
  <si>
    <t>PRD-1969</t>
  </si>
  <si>
    <t>PRD-1981</t>
  </si>
  <si>
    <t>PRD-1982</t>
  </si>
  <si>
    <t>PRD-1983</t>
  </si>
  <si>
    <t>PRD-1994</t>
  </si>
  <si>
    <t>PRD-1998</t>
  </si>
  <si>
    <t>PRD-1026</t>
  </si>
  <si>
    <t>PRD-1039</t>
  </si>
  <si>
    <t>PRD-1056</t>
  </si>
  <si>
    <t>PRD-1076</t>
  </si>
  <si>
    <t>PRD-1082</t>
  </si>
  <si>
    <t>PRD-1094</t>
  </si>
  <si>
    <t>PRD-1122</t>
  </si>
  <si>
    <t>Cinta de agarre para tenis</t>
  </si>
  <si>
    <t>PRD-1123</t>
  </si>
  <si>
    <t>PRD-1128</t>
  </si>
  <si>
    <t>PRD-1130</t>
  </si>
  <si>
    <t>PRD-1131</t>
  </si>
  <si>
    <t>PRD-1146</t>
  </si>
  <si>
    <t>PRD-1162</t>
  </si>
  <si>
    <t>PRD-1166</t>
  </si>
  <si>
    <t>PRD-1173</t>
  </si>
  <si>
    <t>Cubierta para cámara web</t>
  </si>
  <si>
    <t>PRD-1175</t>
  </si>
  <si>
    <t>PRD-1189</t>
  </si>
  <si>
    <t>PRD-1223</t>
  </si>
  <si>
    <t>PRD-1262</t>
  </si>
  <si>
    <t>PRD-1273</t>
  </si>
  <si>
    <t>PRD-1285</t>
  </si>
  <si>
    <t>PRD-1292</t>
  </si>
  <si>
    <t>PRD-1298</t>
  </si>
  <si>
    <t>PRD-1302</t>
  </si>
  <si>
    <t>PRD-1305</t>
  </si>
  <si>
    <t>PRD-1312</t>
  </si>
  <si>
    <t>PRD-1322</t>
  </si>
  <si>
    <t>PRD-1331</t>
  </si>
  <si>
    <t>PRD-1341</t>
  </si>
  <si>
    <t>PRD-1344</t>
  </si>
  <si>
    <t>PRD-1353</t>
  </si>
  <si>
    <t>PRD-1381</t>
  </si>
  <si>
    <t>PRD-1384</t>
  </si>
  <si>
    <t>PRD-1397</t>
  </si>
  <si>
    <t>PRD-1401</t>
  </si>
  <si>
    <t>PRD-1403</t>
  </si>
  <si>
    <t>PRD-1410</t>
  </si>
  <si>
    <t>PRD-1417</t>
  </si>
  <si>
    <t>PRD-1473</t>
  </si>
  <si>
    <t>PRD-1478</t>
  </si>
  <si>
    <t>PRD-1479</t>
  </si>
  <si>
    <t>PRD-1555</t>
  </si>
  <si>
    <t>PRD-1568</t>
  </si>
  <si>
    <t>PRD-1570</t>
  </si>
  <si>
    <t>PRD-1571</t>
  </si>
  <si>
    <t>PRD-1572</t>
  </si>
  <si>
    <t>PRD-1577</t>
  </si>
  <si>
    <t>PRD-1588</t>
  </si>
  <si>
    <t>PRD-1611</t>
  </si>
  <si>
    <t>PRD-1615</t>
  </si>
  <si>
    <t>PRD-1622</t>
  </si>
  <si>
    <t>PRD-1625</t>
  </si>
  <si>
    <t>PRD-1628</t>
  </si>
  <si>
    <t>PRD-1631</t>
  </si>
  <si>
    <t>PRD-1650</t>
  </si>
  <si>
    <t>PRD-1665</t>
  </si>
  <si>
    <t>PRD-1669</t>
  </si>
  <si>
    <t>PRD-1671</t>
  </si>
  <si>
    <t>PRD-1677</t>
  </si>
  <si>
    <t>PRD-1680</t>
  </si>
  <si>
    <t>PRD-1688</t>
  </si>
  <si>
    <t>PRD-1689</t>
  </si>
  <si>
    <t>PRD-1699</t>
  </si>
  <si>
    <t>PRD-1714</t>
  </si>
  <si>
    <t>PRD-1718</t>
  </si>
  <si>
    <t>PRD-1721</t>
  </si>
  <si>
    <t>PRD-1726</t>
  </si>
  <si>
    <t>PRD-1757</t>
  </si>
  <si>
    <t>PRD-1771</t>
  </si>
  <si>
    <t>PRD-1778</t>
  </si>
  <si>
    <t>PRD-1807</t>
  </si>
  <si>
    <t>PRD-1824</t>
  </si>
  <si>
    <t>PRD-1828</t>
  </si>
  <si>
    <t>PRD-1835</t>
  </si>
  <si>
    <t>PRD-1849</t>
  </si>
  <si>
    <t>PRD-1866</t>
  </si>
  <si>
    <t>PRD-1875</t>
  </si>
  <si>
    <t>PRD-1881</t>
  </si>
  <si>
    <t>PRD-1896</t>
  </si>
  <si>
    <t>PRD-1897</t>
  </si>
  <si>
    <t>PRD-1915</t>
  </si>
  <si>
    <t>PRD-1929</t>
  </si>
  <si>
    <t>PRD-1938</t>
  </si>
  <si>
    <t>PRD-1941</t>
  </si>
  <si>
    <t>PRD-1947</t>
  </si>
  <si>
    <t>PRD-1967</t>
  </si>
  <si>
    <t>PRD-1968</t>
  </si>
  <si>
    <t>PRD-1986</t>
  </si>
  <si>
    <t>PRD-1988</t>
  </si>
  <si>
    <t>PRD-1995</t>
  </si>
  <si>
    <t>PRD-1014</t>
  </si>
  <si>
    <t>PRD-1022</t>
  </si>
  <si>
    <t>PRD-1024</t>
  </si>
  <si>
    <t>PRD-1025</t>
  </si>
  <si>
    <t>PRD-1029</t>
  </si>
  <si>
    <t>PRD-1038</t>
  </si>
  <si>
    <t>PRD-1048</t>
  </si>
  <si>
    <t>PRD-1053</t>
  </si>
  <si>
    <t>PRD-1075</t>
  </si>
  <si>
    <t>PRD-1097</t>
  </si>
  <si>
    <t>PRD-1101</t>
  </si>
  <si>
    <t>PRD-1106</t>
  </si>
  <si>
    <t>PRD-1108</t>
  </si>
  <si>
    <t>PRD-1112</t>
  </si>
  <si>
    <t>PRD-1145</t>
  </si>
  <si>
    <t>PRD-1197</t>
  </si>
  <si>
    <t>PRD-1238</t>
  </si>
  <si>
    <t>PRD-1247</t>
  </si>
  <si>
    <t>PRD-1259</t>
  </si>
  <si>
    <t>PRD-1260</t>
  </si>
  <si>
    <t>PRD-1268</t>
  </si>
  <si>
    <t>PRD-1278</t>
  </si>
  <si>
    <t>PRD-1280</t>
  </si>
  <si>
    <t>PRD-1306</t>
  </si>
  <si>
    <t>PRD-1315</t>
  </si>
  <si>
    <t>PRD-1317</t>
  </si>
  <si>
    <t>PRD-1357</t>
  </si>
  <si>
    <t>PRD-1366</t>
  </si>
  <si>
    <t>PRD-1372</t>
  </si>
  <si>
    <t>PRD-1376</t>
  </si>
  <si>
    <t>PRD-1385</t>
  </si>
  <si>
    <t>PRD-1387</t>
  </si>
  <si>
    <t>PRD-1404</t>
  </si>
  <si>
    <t>PRD-1427</t>
  </si>
  <si>
    <t>PRD-1462</t>
  </si>
  <si>
    <t>PRD-1465</t>
  </si>
  <si>
    <t>PRD-1466</t>
  </si>
  <si>
    <t>PRD-1500</t>
  </si>
  <si>
    <t>PRD-1504</t>
  </si>
  <si>
    <t>PRD-1508</t>
  </si>
  <si>
    <t>PRD-1529</t>
  </si>
  <si>
    <t>PRD-1539</t>
  </si>
  <si>
    <t>PRD-1557</t>
  </si>
  <si>
    <t>PRD-1558</t>
  </si>
  <si>
    <t>PRD-1562</t>
  </si>
  <si>
    <t>PRD-1565</t>
  </si>
  <si>
    <t>PRD-1584</t>
  </si>
  <si>
    <t>PRD-1599</t>
  </si>
  <si>
    <t>PRD-1600</t>
  </si>
  <si>
    <t>PRD-1614</t>
  </si>
  <si>
    <t>PRD-1630</t>
  </si>
  <si>
    <t>PRD-1641</t>
  </si>
  <si>
    <t>PRD-1647</t>
  </si>
  <si>
    <t>PRD-1649</t>
  </si>
  <si>
    <t>PRD-1652</t>
  </si>
  <si>
    <t>PRD-1667</t>
  </si>
  <si>
    <t>PRD-1701</t>
  </si>
  <si>
    <t>PRD-1705</t>
  </si>
  <si>
    <t>PRD-1706</t>
  </si>
  <si>
    <t>PRD-1707</t>
  </si>
  <si>
    <t>PRD-1711</t>
  </si>
  <si>
    <t>PRD-1717</t>
  </si>
  <si>
    <t>PRD-1754</t>
  </si>
  <si>
    <t>PRD-1803</t>
  </si>
  <si>
    <t>PRD-1809</t>
  </si>
  <si>
    <t>PRD-1830</t>
  </si>
  <si>
    <t>PRD-1840</t>
  </si>
  <si>
    <t>PRD-1857</t>
  </si>
  <si>
    <t>PRD-1886</t>
  </si>
  <si>
    <t>PRD-1890</t>
  </si>
  <si>
    <t>PRD-1895</t>
  </si>
  <si>
    <t>PRD-1924</t>
  </si>
  <si>
    <t>PRD-1930</t>
  </si>
  <si>
    <t>PRD-1944</t>
  </si>
  <si>
    <t>PRD-1945</t>
  </si>
  <si>
    <t>PRD-1948</t>
  </si>
  <si>
    <t>PRD-1949</t>
  </si>
  <si>
    <t>PRD-1951</t>
  </si>
  <si>
    <t>PRD-1952</t>
  </si>
  <si>
    <t>PRD-1955</t>
  </si>
  <si>
    <t>PRD-1956</t>
  </si>
  <si>
    <t>PRD-1972</t>
  </si>
  <si>
    <t>PRD-1974</t>
  </si>
  <si>
    <t>PRD-1977</t>
  </si>
  <si>
    <t>PRD-1984</t>
  </si>
  <si>
    <t>PRD-1991</t>
  </si>
  <si>
    <t>PRD-1997</t>
  </si>
  <si>
    <t>PRD-1005</t>
  </si>
  <si>
    <t>PRD-1002</t>
  </si>
  <si>
    <t>PRD-1032</t>
  </si>
  <si>
    <t>PRD-1034</t>
  </si>
  <si>
    <t>PRD-1057</t>
  </si>
  <si>
    <t>PRD-1066</t>
  </si>
  <si>
    <t>PRD-1072</t>
  </si>
  <si>
    <t>PRD-1087</t>
  </si>
  <si>
    <t>PRD-1088</t>
  </si>
  <si>
    <t>PRD-1096</t>
  </si>
  <si>
    <t>PRD-1100</t>
  </si>
  <si>
    <t>PRD-1136</t>
  </si>
  <si>
    <t>PRD-1150</t>
  </si>
  <si>
    <t>PRD-1156</t>
  </si>
  <si>
    <t>PRD-1159</t>
  </si>
  <si>
    <t>PRD-1163</t>
  </si>
  <si>
    <t>PRD-1165</t>
  </si>
  <si>
    <t>PRD-1203</t>
  </si>
  <si>
    <t>PRD-1216</t>
  </si>
  <si>
    <t>PRD-1217</t>
  </si>
  <si>
    <t>PRD-1224</t>
  </si>
  <si>
    <t>PRD-1228</t>
  </si>
  <si>
    <t>PRD-1241</t>
  </si>
  <si>
    <t>PRD-1245</t>
  </si>
  <si>
    <t>PRD-1258</t>
  </si>
  <si>
    <t>PRD-1270</t>
  </si>
  <si>
    <t>PRD-1274</t>
  </si>
  <si>
    <t>PRD-1281</t>
  </si>
  <si>
    <t>PRD-1286</t>
  </si>
  <si>
    <t>PRD-1293</t>
  </si>
  <si>
    <t>PRD-1320</t>
  </si>
  <si>
    <t>PRD-1337</t>
  </si>
  <si>
    <t>PRD-1354</t>
  </si>
  <si>
    <t>PRD-1369</t>
  </si>
  <si>
    <t>PRD-1375</t>
  </si>
  <si>
    <t>PRD-1396</t>
  </si>
  <si>
    <t>PRD-1412</t>
  </si>
  <si>
    <t>PRD-1413</t>
  </si>
  <si>
    <t>PRD-1424</t>
  </si>
  <si>
    <t>PRD-1439</t>
  </si>
  <si>
    <t>PRD-1442</t>
  </si>
  <si>
    <t>PRD-1460</t>
  </si>
  <si>
    <t>PRD-1464</t>
  </si>
  <si>
    <t>PRD-1481</t>
  </si>
  <si>
    <t>PRD-1487</t>
  </si>
  <si>
    <t>PRD-1490</t>
  </si>
  <si>
    <t>PRD-1491</t>
  </si>
  <si>
    <t>PRD-1521</t>
  </si>
  <si>
    <t>PRD-1523</t>
  </si>
  <si>
    <t>PRD-1528</t>
  </si>
  <si>
    <t>PRD-1541</t>
  </si>
  <si>
    <t>PRD-1543</t>
  </si>
  <si>
    <t>PRD-1546</t>
  </si>
  <si>
    <t>PRD-1554</t>
  </si>
  <si>
    <t>PRD-1583</t>
  </si>
  <si>
    <t>PRD-1591</t>
  </si>
  <si>
    <t>PRD-1598</t>
  </si>
  <si>
    <t>PRD-1603</t>
  </si>
  <si>
    <t>PRD-1626</t>
  </si>
  <si>
    <t>PRD-1646</t>
  </si>
  <si>
    <t>PRD-1676</t>
  </si>
  <si>
    <t>PRD-1709</t>
  </si>
  <si>
    <t>PRD-1715</t>
  </si>
  <si>
    <t>PRD-1727</t>
  </si>
  <si>
    <t>PRD-1733</t>
  </si>
  <si>
    <t>PRD-1736</t>
  </si>
  <si>
    <t>PRD-1758</t>
  </si>
  <si>
    <t>PRD-1797</t>
  </si>
  <si>
    <t>PRD-1816</t>
  </si>
  <si>
    <t>PRD-1820</t>
  </si>
  <si>
    <t>PRD-1821</t>
  </si>
  <si>
    <t>PRD-1823</t>
  </si>
  <si>
    <t>PRD-1825</t>
  </si>
  <si>
    <t>PRD-1832</t>
  </si>
  <si>
    <t>PRD-1833</t>
  </si>
  <si>
    <t>PRD-1837</t>
  </si>
  <si>
    <t>PRD-1842</t>
  </si>
  <si>
    <t>PRD-1854</t>
  </si>
  <si>
    <t>PRD-1880</t>
  </si>
  <si>
    <t>PRD-1901</t>
  </si>
  <si>
    <t>PRD-1910</t>
  </si>
  <si>
    <t>PRD-1935</t>
  </si>
  <si>
    <t>PRD-1960</t>
  </si>
  <si>
    <t>PRD-1966</t>
  </si>
  <si>
    <t>PRD-1973</t>
  </si>
  <si>
    <t>PRD-1007</t>
  </si>
  <si>
    <t>PRD-1064</t>
  </si>
  <si>
    <t>PRD-1069</t>
  </si>
  <si>
    <t>PRD-1114</t>
  </si>
  <si>
    <t>PRD-1120</t>
  </si>
  <si>
    <t>PRD-1125</t>
  </si>
  <si>
    <t>PRD-1127</t>
  </si>
  <si>
    <t>PRD-1129</t>
  </si>
  <si>
    <t>PRD-1143</t>
  </si>
  <si>
    <t>PRD-1153</t>
  </si>
  <si>
    <t>PRD-1155</t>
  </si>
  <si>
    <t>PRD-1172</t>
  </si>
  <si>
    <t>PRD-1179</t>
  </si>
  <si>
    <t>PRD-1192</t>
  </si>
  <si>
    <t>PRD-1194</t>
  </si>
  <si>
    <t>PRD-1256</t>
  </si>
  <si>
    <t>PRD-1267</t>
  </si>
  <si>
    <t>PRD-1308</t>
  </si>
  <si>
    <t>PRD-1319</t>
  </si>
  <si>
    <t>PRD-1324</t>
  </si>
  <si>
    <t>PRD-1325</t>
  </si>
  <si>
    <t>PRD-1339</t>
  </si>
  <si>
    <t>PRD-1349</t>
  </si>
  <si>
    <t>PRD-1352</t>
  </si>
  <si>
    <t>PRD-1373</t>
  </si>
  <si>
    <t>PRD-1378</t>
  </si>
  <si>
    <t>PRD-1389</t>
  </si>
  <si>
    <t>PRD-1393</t>
  </si>
  <si>
    <t>PRD-1402</t>
  </si>
  <si>
    <t>PRD-1419</t>
  </si>
  <si>
    <t>PRD-1421</t>
  </si>
  <si>
    <t>PRD-1425</t>
  </si>
  <si>
    <t>PRD-1435</t>
  </si>
  <si>
    <t>PRD-1441</t>
  </si>
  <si>
    <t>PRD-1459</t>
  </si>
  <si>
    <t>PRD-1480</t>
  </si>
  <si>
    <t>PRD-1484</t>
  </si>
  <si>
    <t>PRD-1488</t>
  </si>
  <si>
    <t>PRD-1510</t>
  </si>
  <si>
    <t>PRD-1515</t>
  </si>
  <si>
    <t>PRD-1516</t>
  </si>
  <si>
    <t>PRD-1532</t>
  </si>
  <si>
    <t>PRD-1559</t>
  </si>
  <si>
    <t>PRD-1560</t>
  </si>
  <si>
    <t>PRD-1566</t>
  </si>
  <si>
    <t>PRD-1580</t>
  </si>
  <si>
    <t>PRD-1585</t>
  </si>
  <si>
    <t>PRD-1594</t>
  </si>
  <si>
    <t>PRD-1596</t>
  </si>
  <si>
    <t>PRD-1605</t>
  </si>
  <si>
    <t>PRD-1607</t>
  </si>
  <si>
    <t>PRD-1610</t>
  </si>
  <si>
    <t>PRD-1635</t>
  </si>
  <si>
    <t>PRD-1657</t>
  </si>
  <si>
    <t>PRD-1673</t>
  </si>
  <si>
    <t>PRD-1681</t>
  </si>
  <si>
    <t>PRD-1703</t>
  </si>
  <si>
    <t>PRD-1740</t>
  </si>
  <si>
    <t>PRD-1744</t>
  </si>
  <si>
    <t>PRD-1768</t>
  </si>
  <si>
    <t>PRD-1774</t>
  </si>
  <si>
    <t>PRD-1777</t>
  </si>
  <si>
    <t>PRD-1793</t>
  </si>
  <si>
    <t>PRD-1802</t>
  </si>
  <si>
    <t>PRD-1806</t>
  </si>
  <si>
    <t>PRD-1845</t>
  </si>
  <si>
    <t>PRD-1850</t>
  </si>
  <si>
    <t>PRD-1852</t>
  </si>
  <si>
    <t>PRD-1864</t>
  </si>
  <si>
    <t>PRD-1865</t>
  </si>
  <si>
    <t>PRD-1884</t>
  </si>
  <si>
    <t>PRD-1905</t>
  </si>
  <si>
    <t>PRD-1913</t>
  </si>
  <si>
    <t>PRD-1920</t>
  </si>
  <si>
    <t>PRD-1946</t>
  </si>
  <si>
    <t>PRD-1965</t>
  </si>
  <si>
    <t>PRD-1980</t>
  </si>
  <si>
    <t>PRD-1992</t>
  </si>
  <si>
    <t>PRD-1999</t>
  </si>
  <si>
    <t>PRD-1009</t>
  </si>
  <si>
    <t>PRD-1045</t>
  </si>
  <si>
    <t>PRD-1049</t>
  </si>
  <si>
    <t>PRD-1052</t>
  </si>
  <si>
    <t>PRD-1059</t>
  </si>
  <si>
    <t>PRD-1070</t>
  </si>
  <si>
    <t>PRD-1083</t>
  </si>
  <si>
    <t>PRD-1103</t>
  </si>
  <si>
    <t>PRD-1121</t>
  </si>
  <si>
    <t>PRD-1138</t>
  </si>
  <si>
    <t>PRD-1141</t>
  </si>
  <si>
    <t>PRD-1148</t>
  </si>
  <si>
    <t>PRD-1200</t>
  </si>
  <si>
    <t>PRD-1212</t>
  </si>
  <si>
    <t>PRD-1219</t>
  </si>
  <si>
    <t>PRD-1251</t>
  </si>
  <si>
    <t>PRD-1252</t>
  </si>
  <si>
    <t>PRD-1263</t>
  </si>
  <si>
    <t>PRD-1284</t>
  </si>
  <si>
    <t>PRD-1296</t>
  </si>
  <si>
    <t>PRD-1299</t>
  </si>
  <si>
    <t>PRD-1304</t>
  </si>
  <si>
    <t>PRD-1332</t>
  </si>
  <si>
    <t>PRD-1360</t>
  </si>
  <si>
    <t>PRD-1361</t>
  </si>
  <si>
    <t>PRD-1368</t>
  </si>
  <si>
    <t>PRD-1370</t>
  </si>
  <si>
    <t>PRD-1377</t>
  </si>
  <si>
    <t>PRD-1383</t>
  </si>
  <si>
    <t>PRD-1388</t>
  </si>
  <si>
    <t>PRD-1409</t>
  </si>
  <si>
    <t>PRD-1411</t>
  </si>
  <si>
    <t>PRD-1416</t>
  </si>
  <si>
    <t>PRD-1420</t>
  </si>
  <si>
    <t>PRD-1428</t>
  </si>
  <si>
    <t>PRD-1429</t>
  </si>
  <si>
    <t>PRD-1454</t>
  </si>
  <si>
    <t>PRD-1467</t>
  </si>
  <si>
    <t>PRD-1498</t>
  </si>
  <si>
    <t>PRD-1501</t>
  </si>
  <si>
    <t>PRD-1505</t>
  </si>
  <si>
    <t>PRD-1519</t>
  </si>
  <si>
    <t>PRD-1592</t>
  </si>
  <si>
    <t>PRD-1597</t>
  </si>
  <si>
    <t>PRD-1619</t>
  </si>
  <si>
    <t>PRD-1658</t>
  </si>
  <si>
    <t>PRD-1661</t>
  </si>
  <si>
    <t>PRD-1666</t>
  </si>
  <si>
    <t>PRD-1672</t>
  </si>
  <si>
    <t>PRD-1685</t>
  </si>
  <si>
    <t>PRD-1694</t>
  </si>
  <si>
    <t>PRD-1695</t>
  </si>
  <si>
    <t>PRD-1710</t>
  </si>
  <si>
    <t>PRD-1725</t>
  </si>
  <si>
    <t>PRD-1737</t>
  </si>
  <si>
    <t>PRD-1748</t>
  </si>
  <si>
    <t>PRD-1761</t>
  </si>
  <si>
    <t>PRD-1794</t>
  </si>
  <si>
    <t>PRD-1795</t>
  </si>
  <si>
    <t>PRD-1804</t>
  </si>
  <si>
    <t>PRD-1818</t>
  </si>
  <si>
    <t>PRD-1822</t>
  </si>
  <si>
    <t>PRD-1841</t>
  </si>
  <si>
    <t>PRD-1851</t>
  </si>
  <si>
    <t>PRD-1856</t>
  </si>
  <si>
    <t>PRD-1871</t>
  </si>
  <si>
    <t>PRD-1872</t>
  </si>
  <si>
    <t>PRD-1889</t>
  </si>
  <si>
    <t>PRD-1898</t>
  </si>
  <si>
    <t>PRD-1909</t>
  </si>
  <si>
    <t>PRD-1922</t>
  </si>
  <si>
    <t>PRD-1927</t>
  </si>
  <si>
    <t>PRD-1939</t>
  </si>
  <si>
    <t>PRD-1943</t>
  </si>
  <si>
    <t>PRD-1957</t>
  </si>
  <si>
    <t>PRD-1959</t>
  </si>
  <si>
    <t>PRD-1990</t>
  </si>
  <si>
    <t>PRD-1996</t>
  </si>
  <si>
    <t>PRD-1012</t>
  </si>
  <si>
    <t>PRD-1018</t>
  </si>
  <si>
    <t>PRD-1027</t>
  </si>
  <si>
    <t>PRD-1030</t>
  </si>
  <si>
    <t>PRD-1040</t>
  </si>
  <si>
    <t>PRD-1047</t>
  </si>
  <si>
    <t>PRD-1067</t>
  </si>
  <si>
    <t>PRD-1071</t>
  </si>
  <si>
    <t>PRD-1085</t>
  </si>
  <si>
    <t>PRD-1086</t>
  </si>
  <si>
    <t>PRD-1093</t>
  </si>
  <si>
    <t>PRD-1095</t>
  </si>
  <si>
    <t>PRD-1107</t>
  </si>
  <si>
    <t>PRD-1113</t>
  </si>
  <si>
    <t>PRD-1117</t>
  </si>
  <si>
    <t>PRD-1124</t>
  </si>
  <si>
    <t>PRD-1132</t>
  </si>
  <si>
    <t>PRD-1134</t>
  </si>
  <si>
    <t>PRD-1135</t>
  </si>
  <si>
    <t>PRD-1152</t>
  </si>
  <si>
    <t>PRD-1171</t>
  </si>
  <si>
    <t>PRD-1174</t>
  </si>
  <si>
    <t>PRD-1176</t>
  </si>
  <si>
    <t>PRD-1182</t>
  </si>
  <si>
    <t>PRD-1183</t>
  </si>
  <si>
    <t>PRD-1190</t>
  </si>
  <si>
    <t>PRD-1191</t>
  </si>
  <si>
    <t>PRD-1193</t>
  </si>
  <si>
    <t>PRD-1205</t>
  </si>
  <si>
    <t>PRD-1210</t>
  </si>
  <si>
    <t>PRD-1213</t>
  </si>
  <si>
    <t>PRD-1222</t>
  </si>
  <si>
    <t>PRD-1225</t>
  </si>
  <si>
    <t>PRD-1236</t>
  </si>
  <si>
    <t>PRD-1240</t>
  </si>
  <si>
    <t>PRD-1243</t>
  </si>
  <si>
    <t>PRD-1246</t>
  </si>
  <si>
    <t>PRD-1257</t>
  </si>
  <si>
    <t>PRD-1261</t>
  </si>
  <si>
    <t>PRD-1275</t>
  </si>
  <si>
    <t>PRD-1276</t>
  </si>
  <si>
    <t>PRD-1282</t>
  </si>
  <si>
    <t>PRD-1289</t>
  </si>
  <si>
    <t>PRD-1307</t>
  </si>
  <si>
    <t>PRD-1309</t>
  </si>
  <si>
    <t>PRD-1313</t>
  </si>
  <si>
    <t>PRD-1326</t>
  </si>
  <si>
    <t>PRD-1327</t>
  </si>
  <si>
    <t>PRD-1334</t>
  </si>
  <si>
    <t>PRD-1343</t>
  </si>
  <si>
    <t>PRD-1346</t>
  </si>
  <si>
    <t>PRD-1350</t>
  </si>
  <si>
    <t>PRD-1355</t>
  </si>
  <si>
    <t>PRD-1362</t>
  </si>
  <si>
    <t>PRD-1371</t>
  </si>
  <si>
    <t>PRD-1379</t>
  </si>
  <si>
    <t>PRD-1398</t>
  </si>
  <si>
    <t>PRD-1400</t>
  </si>
  <si>
    <t>PRD-1430</t>
  </si>
  <si>
    <t>PRD-1433</t>
  </si>
  <si>
    <t>PRD-1436</t>
  </si>
  <si>
    <t>PRD-1438</t>
  </si>
  <si>
    <t>PRD-1440</t>
  </si>
  <si>
    <t>PRD-1444</t>
  </si>
  <si>
    <t>PRD-1447</t>
  </si>
  <si>
    <t>PRD-1450</t>
  </si>
  <si>
    <t>PRD-1451</t>
  </si>
  <si>
    <t>PRD-1455</t>
  </si>
  <si>
    <t>PRD-1456</t>
  </si>
  <si>
    <t>PRD-1461</t>
  </si>
  <si>
    <t>PRD-1474</t>
  </si>
  <si>
    <t>PRD-1482</t>
  </si>
  <si>
    <t>PRD-1489</t>
  </si>
  <si>
    <t>PRD-1492</t>
  </si>
  <si>
    <t>PRD-1493</t>
  </si>
  <si>
    <t>PRD-1497</t>
  </si>
  <si>
    <t>PRD-1509</t>
  </si>
  <si>
    <t>PRD-1511</t>
  </si>
  <si>
    <t>PRD-1524</t>
  </si>
  <si>
    <t>PRD-1525</t>
  </si>
  <si>
    <t>PRD-1531</t>
  </si>
  <si>
    <t>PRD-1533</t>
  </si>
  <si>
    <t>PRD-1534</t>
  </si>
  <si>
    <t>PRD-1542</t>
  </si>
  <si>
    <t>PRD-1549</t>
  </si>
  <si>
    <t>PRD-1553</t>
  </si>
  <si>
    <t>PRD-1564</t>
  </si>
  <si>
    <t>PRD-1569</t>
  </si>
  <si>
    <t>PRD-1573</t>
  </si>
  <si>
    <t>PRD-1575</t>
  </si>
  <si>
    <t>PRD-1576</t>
  </si>
  <si>
    <t>PRD-1581</t>
  </si>
  <si>
    <t>PRD-1582</t>
  </si>
  <si>
    <t>PRD-1601</t>
  </si>
  <si>
    <t>PRD-1609</t>
  </si>
  <si>
    <t>PRD-1616</t>
  </si>
  <si>
    <t>PRD-1620</t>
  </si>
  <si>
    <t>PRD-1621</t>
  </si>
  <si>
    <t>PRD-1668</t>
  </si>
  <si>
    <t>PRD-1670</t>
  </si>
  <si>
    <t>PRD-1691</t>
  </si>
  <si>
    <t>PRD-1698</t>
  </si>
  <si>
    <t>PRD-1702</t>
  </si>
  <si>
    <t>PRD-1742</t>
  </si>
  <si>
    <t>PRD-1745</t>
  </si>
  <si>
    <t>PRD-1746</t>
  </si>
  <si>
    <t>PRD-1756</t>
  </si>
  <si>
    <t>PRD-1760</t>
  </si>
  <si>
    <t>PRD-1769</t>
  </si>
  <si>
    <t>PRD-1775</t>
  </si>
  <si>
    <t>PRD-1783</t>
  </si>
  <si>
    <t>PRD-1787</t>
  </si>
  <si>
    <t>PRD-1791</t>
  </si>
  <si>
    <t>PRD-1799</t>
  </si>
  <si>
    <t>PRD-1805</t>
  </si>
  <si>
    <t>PRD-1808</t>
  </si>
  <si>
    <t>PRD-1815</t>
  </si>
  <si>
    <t>PRD-1838</t>
  </si>
  <si>
    <t>PRD-1862</t>
  </si>
  <si>
    <t>PRD-1870</t>
  </si>
  <si>
    <t>PRD-1873</t>
  </si>
  <si>
    <t>PRD-1874</t>
  </si>
  <si>
    <t>PRD-1893</t>
  </si>
  <si>
    <t>PRD-1911</t>
  </si>
  <si>
    <t>PRD-1916</t>
  </si>
  <si>
    <t>PRD-1936</t>
  </si>
  <si>
    <t>PRD-1954</t>
  </si>
  <si>
    <t>PRD-1958</t>
  </si>
  <si>
    <t>PRD-1963</t>
  </si>
  <si>
    <t>PRD-1970</t>
  </si>
  <si>
    <t>PRD-1976</t>
  </si>
  <si>
    <t>PRD-1979</t>
  </si>
  <si>
    <t>PRD-2000</t>
  </si>
  <si>
    <t>Stock bajo</t>
  </si>
  <si>
    <t>PRD-1001</t>
  </si>
  <si>
    <t>PRD-1004</t>
  </si>
  <si>
    <t>PRD-1015</t>
  </si>
  <si>
    <t>PRD-1017</t>
  </si>
  <si>
    <t>PRD-1023</t>
  </si>
  <si>
    <t>PRD-1033</t>
  </si>
  <si>
    <t>PRD-1037</t>
  </si>
  <si>
    <t>PRD-1041</t>
  </si>
  <si>
    <t>PRD-1042</t>
  </si>
  <si>
    <t>PRD-1046</t>
  </si>
  <si>
    <t>PRD-1062</t>
  </si>
  <si>
    <t>PRD-1063</t>
  </si>
  <si>
    <t>PRD-1068</t>
  </si>
  <si>
    <t>PRD-1080</t>
  </si>
  <si>
    <t>PRD-1102</t>
  </si>
  <si>
    <t>PRD-1104</t>
  </si>
  <si>
    <t>PRD-1105</t>
  </si>
  <si>
    <t>PRD-1116</t>
  </si>
  <si>
    <t>PRD-1126</t>
  </si>
  <si>
    <t>PRD-1133</t>
  </si>
  <si>
    <t>PRD-1137</t>
  </si>
  <si>
    <t>PRD-1142</t>
  </si>
  <si>
    <t>PRD-1144</t>
  </si>
  <si>
    <t>PRD-1147</t>
  </si>
  <si>
    <t>PRD-1149</t>
  </si>
  <si>
    <t>PRD-1151</t>
  </si>
  <si>
    <t>PRD-1161</t>
  </si>
  <si>
    <t>PRD-1164</t>
  </si>
  <si>
    <t>PRD-1177</t>
  </si>
  <si>
    <t>PRD-1178</t>
  </si>
  <si>
    <t>PRD-1185</t>
  </si>
  <si>
    <t>PRD-1195</t>
  </si>
  <si>
    <t>PRD-1196</t>
  </si>
  <si>
    <t>PRD-1204</t>
  </si>
  <si>
    <t>PRD-1206</t>
  </si>
  <si>
    <t>PRD-1209</t>
  </si>
  <si>
    <t>PRD-1215</t>
  </si>
  <si>
    <t>PRD-1226</t>
  </si>
  <si>
    <t>PRD-1231</t>
  </si>
  <si>
    <t>PRD-1232</t>
  </si>
  <si>
    <t>PRD-1233</t>
  </si>
  <si>
    <t>PRD-1239</t>
  </si>
  <si>
    <t>PRD-1244</t>
  </si>
  <si>
    <t>PRD-1271</t>
  </si>
  <si>
    <t>PRD-1279</t>
  </si>
  <si>
    <t>PRD-1283</t>
  </si>
  <si>
    <t>PRD-1295</t>
  </si>
  <si>
    <t>PRD-1297</t>
  </si>
  <si>
    <t>PRD-1300</t>
  </si>
  <si>
    <t>PRD-1301</t>
  </si>
  <si>
    <t>PRD-1310</t>
  </si>
  <si>
    <t>PRD-1321</t>
  </si>
  <si>
    <t>PRD-1329</t>
  </si>
  <si>
    <t>PRD-1330</t>
  </si>
  <si>
    <t>PRD-1351</t>
  </si>
  <si>
    <t>PRD-1359</t>
  </si>
  <si>
    <t>PRD-1374</t>
  </si>
  <si>
    <t>PRD-1380</t>
  </si>
  <si>
    <t>PRD-1382</t>
  </si>
  <si>
    <t>PRD-1386</t>
  </si>
  <si>
    <t>PRD-1392</t>
  </si>
  <si>
    <t>PRD-1394</t>
  </si>
  <si>
    <t>PRD-1399</t>
  </si>
  <si>
    <t>PRD-1422</t>
  </si>
  <si>
    <t>PRD-1426</t>
  </si>
  <si>
    <t>PRD-1445</t>
  </si>
  <si>
    <t>PRD-1446</t>
  </si>
  <si>
    <t>PRD-1458</t>
  </si>
  <si>
    <t>PRD-1468</t>
  </si>
  <si>
    <t>PRD-1470</t>
  </si>
  <si>
    <t>PRD-1472</t>
  </si>
  <si>
    <t>PRD-1477</t>
  </si>
  <si>
    <t>PRD-1483</t>
  </si>
  <si>
    <t>PRD-1485</t>
  </si>
  <si>
    <t>PRD-1496</t>
  </si>
  <si>
    <t>PRD-1512</t>
  </si>
  <si>
    <t>PRD-1517</t>
  </si>
  <si>
    <t>PRD-1518</t>
  </si>
  <si>
    <t>PRD-1520</t>
  </si>
  <si>
    <t>PRD-1526</t>
  </si>
  <si>
    <t>PRD-1536</t>
  </si>
  <si>
    <t>PRD-1544</t>
  </si>
  <si>
    <t>PRD-1551</t>
  </si>
  <si>
    <t>PRD-1561</t>
  </si>
  <si>
    <t>PRD-1586</t>
  </si>
  <si>
    <t>PRD-1589</t>
  </si>
  <si>
    <t>PRD-1604</t>
  </si>
  <si>
    <t>PRD-1606</t>
  </si>
  <si>
    <t>PRD-1608</t>
  </si>
  <si>
    <t>PRD-1624</t>
  </si>
  <si>
    <t>PRD-1629</t>
  </si>
  <si>
    <t>PRD-1638</t>
  </si>
  <si>
    <t>PRD-1643</t>
  </si>
  <si>
    <t>PRD-1653</t>
  </si>
  <si>
    <t>PRD-1655</t>
  </si>
  <si>
    <t>PRD-1656</t>
  </si>
  <si>
    <t>PRD-1662</t>
  </si>
  <si>
    <t>PRD-1664</t>
  </si>
  <si>
    <t>PRD-1674</t>
  </si>
  <si>
    <t>PRD-1690</t>
  </si>
  <si>
    <t>PRD-1692</t>
  </si>
  <si>
    <t>PRD-1693</t>
  </si>
  <si>
    <t>PRD-1697</t>
  </si>
  <si>
    <t>PRD-1704</t>
  </si>
  <si>
    <t>PRD-1708</t>
  </si>
  <si>
    <t>PRD-1713</t>
  </si>
  <si>
    <t>PRD-1716</t>
  </si>
  <si>
    <t>PRD-1722</t>
  </si>
  <si>
    <t>PRD-1729</t>
  </si>
  <si>
    <t>PRD-1732</t>
  </si>
  <si>
    <t>PRD-1741</t>
  </si>
  <si>
    <t>PRD-1743</t>
  </si>
  <si>
    <t>PRD-1753</t>
  </si>
  <si>
    <t>PRD-1765</t>
  </si>
  <si>
    <t>PRD-1766</t>
  </si>
  <si>
    <t>PRD-1776</t>
  </si>
  <si>
    <t>PRD-1779</t>
  </si>
  <si>
    <t>PRD-1780</t>
  </si>
  <si>
    <t>PRD-1781</t>
  </si>
  <si>
    <t>PRD-1786</t>
  </si>
  <si>
    <t>PRD-1789</t>
  </si>
  <si>
    <t>PRD-1790</t>
  </si>
  <si>
    <t>PRD-1792</t>
  </si>
  <si>
    <t>PRD-1798</t>
  </si>
  <si>
    <t>PRD-1811</t>
  </si>
  <si>
    <t>PRD-1813</t>
  </si>
  <si>
    <t>PRD-1814</t>
  </si>
  <si>
    <t>PRD-1827</t>
  </si>
  <si>
    <t>PRD-1831</t>
  </si>
  <si>
    <t>PRD-1843</t>
  </si>
  <si>
    <t>PRD-1848</t>
  </si>
  <si>
    <t>PRD-1859</t>
  </si>
  <si>
    <t>PRD-1867</t>
  </si>
  <si>
    <t>PRD-1869</t>
  </si>
  <si>
    <t>PRD-1878</t>
  </si>
  <si>
    <t>PRD-1887</t>
  </si>
  <si>
    <t>PRD-1891</t>
  </si>
  <si>
    <t>PRD-1903</t>
  </si>
  <si>
    <t>PRD-1907</t>
  </si>
  <si>
    <t>PRD-1912</t>
  </si>
  <si>
    <t>PRD-1914</t>
  </si>
  <si>
    <t>PRD-1917</t>
  </si>
  <si>
    <t>PRD-1921</t>
  </si>
  <si>
    <t>PRD-1923</t>
  </si>
  <si>
    <t>PRD-1932</t>
  </si>
  <si>
    <t>PRD-1950</t>
  </si>
  <si>
    <t>PRD-1971</t>
  </si>
  <si>
    <t>PRD-1975</t>
  </si>
  <si>
    <t>PRD-1987</t>
  </si>
  <si>
    <t>Datos devueltos para Margen Neto (primeras 1000 filas).</t>
  </si>
  <si>
    <t>• Liderazgo de Ingresos vs. Riesgo de Inventario: La categoría Electrónica lidera las ventas totales ($1.238.470) y el margen neto ($522.114). Sin embargo, la auditoría con IA identificó un riesgo latente de obsolescencia y costo logístico. Ajuste aplicado: Se recomienda controlar estrictamente el punto de reposición.</t>
  </si>
  <si>
    <t>• Estrategia de Rotación y Fidelización: Juguetes y Juegos registra la mayor cantidad de volumen físico vendido (19.704 unidades). Se consolida como la categoría tracción para la fidelización de clientes y la tracción de tráfico.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</si>
</sst>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0.0"/>
    <numFmt numFmtId="166" formatCode="0.0000"/>
    <numFmt numFmtId="167" formatCode="&quot;$&quot;#,##0.00"/>
    <numFmt numFmtId="168" formatCode="0.0%"/>
    <numFmt numFmtId="169" formatCode="\$\ #,##0.00;\-\$\ #,##0.00;\$\ #,##0.00"/>
    <numFmt numFmtId="170" formatCode="0.00\ %;\-0.00\ %;0.00\ %"/>
    <numFmt numFmtId="171" formatCode="&quot;$&quot;\ #,##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Aptos"/>
      <family val="2"/>
    </font>
    <font>
      <b/>
      <sz val="11"/>
      <color theme="1"/>
      <name val="Aptos"/>
      <family val="2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ptos"/>
    </font>
    <font>
      <b/>
      <sz val="20"/>
      <color rgb="FFFFFFFF"/>
      <name val="Aptos Narrow"/>
      <family val="2"/>
      <scheme val="minor"/>
    </font>
    <font>
      <b/>
      <sz val="11"/>
      <color rgb="FF17365D"/>
      <name val="Aptos Narrow"/>
      <family val="2"/>
      <scheme val="minor"/>
    </font>
    <font>
      <b/>
      <sz val="18"/>
      <color rgb="FF17365D"/>
      <name val="Aptos Narrow"/>
      <family val="2"/>
      <scheme val="minor"/>
    </font>
    <font>
      <sz val="11"/>
      <color rgb="FF263746"/>
      <name val="Aptos Narrow"/>
      <family val="2"/>
      <scheme val="minor"/>
    </font>
    <font>
      <i/>
      <sz val="11"/>
      <color rgb="FF657786"/>
      <name val="Aptos Narrow"/>
      <family val="2"/>
      <scheme val="minor"/>
    </font>
    <font>
      <i/>
      <sz val="11"/>
      <color rgb="FF52697E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F7FB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D1D5D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D1D5D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D1D5DB"/>
      </right>
      <top style="thin">
        <color rgb="FFE5E7EB"/>
      </top>
      <bottom/>
      <diagonal/>
    </border>
    <border>
      <left style="thin">
        <color rgb="FFD1D5DB"/>
      </left>
      <right style="thin">
        <color rgb="FFE5E7EB"/>
      </right>
      <top style="double">
        <color rgb="FF548235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double">
        <color rgb="FF548235"/>
      </top>
      <bottom style="thin">
        <color rgb="FFD1D5DB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rgb="FFAAB7C4"/>
      </top>
      <bottom/>
      <diagonal/>
    </border>
    <border>
      <left/>
      <right/>
      <top/>
      <bottom style="thin">
        <color rgb="FFAAB7C4"/>
      </bottom>
      <diagonal/>
    </border>
    <border>
      <left style="thin">
        <color rgb="FFAAB7C4"/>
      </left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 style="thin">
        <color rgb="FFAAB7C4"/>
      </right>
      <top/>
      <bottom/>
      <diagonal/>
    </border>
    <border>
      <left/>
      <right style="thin">
        <color rgb="FFAAB7C4"/>
      </right>
      <top/>
      <bottom style="thin">
        <color rgb="FFAAB7C4"/>
      </bottom>
      <diagonal/>
    </border>
    <border>
      <left/>
      <right/>
      <top style="thin">
        <color rgb="FFC5D1DD"/>
      </top>
      <bottom/>
      <diagonal/>
    </border>
    <border>
      <left/>
      <right/>
      <top/>
      <bottom style="thin">
        <color rgb="FFC5D1DD"/>
      </bottom>
      <diagonal/>
    </border>
    <border>
      <left style="thin">
        <color rgb="FFC5D1DD"/>
      </left>
      <right/>
      <top style="thin">
        <color rgb="FFC5D1DD"/>
      </top>
      <bottom/>
      <diagonal/>
    </border>
    <border>
      <left style="thin">
        <color rgb="FFC5D1DD"/>
      </left>
      <right/>
      <top/>
      <bottom/>
      <diagonal/>
    </border>
    <border>
      <left style="thin">
        <color rgb="FFC5D1DD"/>
      </left>
      <right/>
      <top/>
      <bottom style="thin">
        <color rgb="FFC5D1DD"/>
      </bottom>
      <diagonal/>
    </border>
    <border>
      <left/>
      <right style="thin">
        <color rgb="FFC5D1DD"/>
      </right>
      <top style="thin">
        <color rgb="FFC5D1DD"/>
      </top>
      <bottom/>
      <diagonal/>
    </border>
    <border>
      <left/>
      <right style="thin">
        <color rgb="FFC5D1DD"/>
      </right>
      <top/>
      <bottom/>
      <diagonal/>
    </border>
    <border>
      <left/>
      <right style="thin">
        <color rgb="FFC5D1DD"/>
      </right>
      <top/>
      <bottom style="thin">
        <color rgb="FFC5D1DD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3" xfId="0" applyBorder="1"/>
    <xf numFmtId="0" fontId="2" fillId="2" borderId="0" xfId="0" applyFont="1" applyFill="1"/>
    <xf numFmtId="0" fontId="3" fillId="2" borderId="4" xfId="0" applyFont="1" applyFill="1" applyBorder="1" applyAlignment="1">
      <alignment horizontal="centerContinuous"/>
    </xf>
    <xf numFmtId="1" fontId="0" fillId="0" borderId="0" xfId="0" applyNumberFormat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2" fontId="0" fillId="3" borderId="0" xfId="0" applyNumberFormat="1" applyFill="1" applyAlignment="1">
      <alignment horizontal="right"/>
    </xf>
    <xf numFmtId="164" fontId="0" fillId="3" borderId="0" xfId="0" applyNumberFormat="1" applyFill="1" applyAlignment="1">
      <alignment horizontal="right"/>
    </xf>
    <xf numFmtId="165" fontId="0" fillId="3" borderId="0" xfId="0" applyNumberFormat="1" applyFill="1" applyAlignment="1">
      <alignment horizontal="right"/>
    </xf>
    <xf numFmtId="1" fontId="0" fillId="3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3" fontId="0" fillId="3" borderId="0" xfId="0" applyNumberFormat="1" applyFill="1" applyAlignment="1">
      <alignment horizontal="right"/>
    </xf>
    <xf numFmtId="1" fontId="0" fillId="3" borderId="2" xfId="0" applyNumberFormat="1" applyFill="1" applyBorder="1" applyAlignment="1">
      <alignment horizontal="right"/>
    </xf>
    <xf numFmtId="0" fontId="5" fillId="4" borderId="7" xfId="0" applyFont="1" applyFill="1" applyBorder="1"/>
    <xf numFmtId="1" fontId="4" fillId="0" borderId="9" xfId="0" applyNumberFormat="1" applyFont="1" applyBorder="1" applyAlignment="1">
      <alignment horizontal="right"/>
    </xf>
    <xf numFmtId="167" fontId="4" fillId="0" borderId="9" xfId="0" applyNumberFormat="1" applyFont="1" applyBorder="1" applyAlignment="1">
      <alignment horizontal="right"/>
    </xf>
    <xf numFmtId="167" fontId="4" fillId="5" borderId="9" xfId="0" applyNumberFormat="1" applyFont="1" applyFill="1" applyBorder="1" applyAlignment="1">
      <alignment horizontal="right"/>
    </xf>
    <xf numFmtId="167" fontId="4" fillId="5" borderId="11" xfId="0" applyNumberFormat="1" applyFont="1" applyFill="1" applyBorder="1" applyAlignment="1">
      <alignment horizontal="right"/>
    </xf>
    <xf numFmtId="167" fontId="6" fillId="6" borderId="13" xfId="0" applyNumberFormat="1" applyFont="1" applyFill="1" applyBorder="1" applyAlignment="1">
      <alignment horizontal="right"/>
    </xf>
    <xf numFmtId="0" fontId="5" fillId="4" borderId="6" xfId="0" applyFont="1" applyFill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5" borderId="8" xfId="0" applyFont="1" applyFill="1" applyBorder="1" applyAlignment="1">
      <alignment horizontal="left"/>
    </xf>
    <xf numFmtId="0" fontId="4" fillId="5" borderId="10" xfId="0" applyFont="1" applyFill="1" applyBorder="1" applyAlignment="1">
      <alignment horizontal="left"/>
    </xf>
    <xf numFmtId="0" fontId="6" fillId="6" borderId="12" xfId="0" applyFont="1" applyFill="1" applyBorder="1" applyAlignment="1">
      <alignment horizontal="left"/>
    </xf>
    <xf numFmtId="168" fontId="4" fillId="0" borderId="9" xfId="0" quotePrefix="1" applyNumberFormat="1" applyFont="1" applyBorder="1" applyAlignment="1">
      <alignment horizontal="right"/>
    </xf>
    <xf numFmtId="168" fontId="0" fillId="0" borderId="0" xfId="0" applyNumberFormat="1"/>
    <xf numFmtId="167" fontId="0" fillId="0" borderId="2" xfId="0" applyNumberFormat="1" applyBorder="1"/>
    <xf numFmtId="0" fontId="7" fillId="7" borderId="5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8" fillId="8" borderId="0" xfId="0" applyFont="1" applyFill="1" applyAlignment="1">
      <alignment horizontal="left"/>
    </xf>
    <xf numFmtId="0" fontId="9" fillId="8" borderId="3" xfId="0" applyFont="1" applyFill="1" applyBorder="1" applyAlignment="1">
      <alignment horizontal="left"/>
    </xf>
    <xf numFmtId="0" fontId="10" fillId="7" borderId="1" xfId="0" applyFont="1" applyFill="1" applyBorder="1" applyAlignment="1">
      <alignment horizontal="right"/>
    </xf>
    <xf numFmtId="0" fontId="10" fillId="7" borderId="5" xfId="0" applyFont="1" applyFill="1" applyBorder="1" applyAlignment="1">
      <alignment horizontal="right"/>
    </xf>
    <xf numFmtId="168" fontId="0" fillId="9" borderId="0" xfId="0" applyNumberFormat="1" applyFill="1"/>
    <xf numFmtId="0" fontId="11" fillId="0" borderId="0" xfId="0" applyFont="1" applyAlignment="1">
      <alignment vertical="top" wrapText="1"/>
    </xf>
    <xf numFmtId="0" fontId="0" fillId="10" borderId="0" xfId="0" applyFill="1"/>
    <xf numFmtId="0" fontId="0" fillId="11" borderId="0" xfId="0" applyFill="1"/>
    <xf numFmtId="169" fontId="0" fillId="11" borderId="0" xfId="0" applyNumberFormat="1" applyFill="1"/>
    <xf numFmtId="170" fontId="0" fillId="11" borderId="0" xfId="0" applyNumberFormat="1" applyFill="1"/>
    <xf numFmtId="0" fontId="0" fillId="11" borderId="0" xfId="0" applyFill="1" applyAlignment="1">
      <alignment horizontal="left"/>
    </xf>
    <xf numFmtId="0" fontId="12" fillId="12" borderId="0" xfId="0" applyFont="1" applyFill="1"/>
    <xf numFmtId="0" fontId="1" fillId="0" borderId="0" xfId="0" applyFont="1"/>
    <xf numFmtId="0" fontId="17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20" xfId="0" applyFont="1" applyBorder="1" applyAlignment="1">
      <alignment horizontal="center" vertical="center" wrapText="1"/>
    </xf>
    <xf numFmtId="0" fontId="16" fillId="15" borderId="0" xfId="0" applyFont="1" applyFill="1" applyAlignment="1">
      <alignment vertical="center" wrapText="1"/>
    </xf>
    <xf numFmtId="0" fontId="14" fillId="14" borderId="23" xfId="0" applyFont="1" applyFill="1" applyBorder="1" applyAlignment="1">
      <alignment horizontal="center"/>
    </xf>
    <xf numFmtId="0" fontId="14" fillId="14" borderId="21" xfId="0" applyFont="1" applyFill="1" applyBorder="1" applyAlignment="1">
      <alignment horizontal="center"/>
    </xf>
    <xf numFmtId="171" fontId="15" fillId="15" borderId="24" xfId="0" applyNumberFormat="1" applyFont="1" applyFill="1" applyBorder="1" applyAlignment="1">
      <alignment horizontal="center" vertical="center"/>
    </xf>
    <xf numFmtId="171" fontId="15" fillId="15" borderId="0" xfId="0" applyNumberFormat="1" applyFont="1" applyFill="1" applyAlignment="1">
      <alignment horizontal="center" vertical="center"/>
    </xf>
    <xf numFmtId="171" fontId="15" fillId="15" borderId="25" xfId="0" applyNumberFormat="1" applyFont="1" applyFill="1" applyBorder="1" applyAlignment="1">
      <alignment horizontal="center" vertical="center"/>
    </xf>
    <xf numFmtId="171" fontId="15" fillId="15" borderId="22" xfId="0" applyNumberFormat="1" applyFont="1" applyFill="1" applyBorder="1" applyAlignment="1">
      <alignment horizontal="center" vertical="center"/>
    </xf>
    <xf numFmtId="168" fontId="15" fillId="15" borderId="24" xfId="0" applyNumberFormat="1" applyFont="1" applyFill="1" applyBorder="1" applyAlignment="1">
      <alignment horizontal="center" vertical="center"/>
    </xf>
    <xf numFmtId="168" fontId="15" fillId="15" borderId="0" xfId="0" applyNumberFormat="1" applyFont="1" applyFill="1" applyAlignment="1">
      <alignment horizontal="center" vertical="center"/>
    </xf>
    <xf numFmtId="168" fontId="15" fillId="15" borderId="25" xfId="0" applyNumberFormat="1" applyFont="1" applyFill="1" applyBorder="1" applyAlignment="1">
      <alignment horizontal="center" vertical="center"/>
    </xf>
    <xf numFmtId="168" fontId="15" fillId="15" borderId="22" xfId="0" applyNumberFormat="1" applyFont="1" applyFill="1" applyBorder="1" applyAlignment="1">
      <alignment horizontal="center" vertical="center"/>
    </xf>
    <xf numFmtId="0" fontId="14" fillId="14" borderId="26" xfId="0" applyFont="1" applyFill="1" applyBorder="1" applyAlignment="1">
      <alignment horizontal="center"/>
    </xf>
    <xf numFmtId="0" fontId="15" fillId="15" borderId="24" xfId="0" applyFont="1" applyFill="1" applyBorder="1" applyAlignment="1">
      <alignment horizontal="center" vertical="center"/>
    </xf>
    <xf numFmtId="0" fontId="15" fillId="15" borderId="27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28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0" fillId="11" borderId="0" xfId="0" applyNumberFormat="1" applyFill="1"/>
    <xf numFmtId="0" fontId="14" fillId="14" borderId="17" xfId="0" applyFont="1" applyFill="1" applyBorder="1" applyAlignment="1">
      <alignment horizontal="center" vertical="center"/>
    </xf>
    <xf numFmtId="0" fontId="14" fillId="14" borderId="15" xfId="0" applyFont="1" applyFill="1" applyBorder="1" applyAlignment="1">
      <alignment horizontal="center" vertical="center"/>
    </xf>
    <xf numFmtId="0" fontId="14" fillId="14" borderId="18" xfId="0" applyFont="1" applyFill="1" applyBorder="1" applyAlignment="1">
      <alignment horizontal="center" vertical="center"/>
    </xf>
    <xf numFmtId="0" fontId="13" fillId="13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543"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CE4D6"/>
        </patternFill>
      </fill>
    </dxf>
    <dxf>
      <font>
        <b/>
        <i val="0"/>
        <color rgb="FF256029"/>
      </font>
      <fill>
        <patternFill patternType="solid">
          <fgColor indexed="64"/>
          <bgColor rgb="FFE2F0D9"/>
        </patternFill>
      </fill>
    </dxf>
    <dxf>
      <font>
        <b/>
        <i val="0"/>
        <color rgb="FF9C0006"/>
      </font>
      <fill>
        <patternFill patternType="solid">
          <fgColor indexed="64"/>
          <bgColor rgb="FFFCE4D6"/>
        </patternFill>
      </fill>
    </dxf>
    <dxf>
      <font>
        <b/>
        <i val="0"/>
        <color rgb="FF256029"/>
      </font>
      <fill>
        <patternFill patternType="solid">
          <fgColor indexed="64"/>
          <bgColor rgb="FFE2F0D9"/>
        </patternFill>
      </fill>
    </dxf>
    <dxf>
      <font>
        <b/>
        <i val="0"/>
        <color rgb="FF9C0006"/>
      </font>
      <fill>
        <patternFill patternType="solid">
          <fgColor indexed="64"/>
          <bgColor rgb="FFFCE4D6"/>
        </patternFill>
      </fill>
    </dxf>
    <dxf>
      <font>
        <b/>
        <i val="0"/>
        <color rgb="FF256029"/>
      </font>
      <fill>
        <patternFill patternType="solid">
          <fgColor indexed="64"/>
          <bgColor rgb="FFE2F0D9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3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47" Type="http://schemas.openxmlformats.org/officeDocument/2006/relationships/customXml" Target="../customXml/item27.xml"/><Relationship Id="rId50" Type="http://schemas.openxmlformats.org/officeDocument/2006/relationships/customXml" Target="../customXml/item30.xml"/><Relationship Id="rId55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9" Type="http://schemas.openxmlformats.org/officeDocument/2006/relationships/customXml" Target="../customXml/item9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3" Type="http://schemas.openxmlformats.org/officeDocument/2006/relationships/customXml" Target="../customXml/item33.xml"/><Relationship Id="rId58" Type="http://schemas.openxmlformats.org/officeDocument/2006/relationships/customXml" Target="../customXml/item38.xml"/><Relationship Id="rId5" Type="http://schemas.openxmlformats.org/officeDocument/2006/relationships/worksheet" Target="worksheets/sheet5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48" Type="http://schemas.openxmlformats.org/officeDocument/2006/relationships/customXml" Target="../customXml/item28.xml"/><Relationship Id="rId56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46" Type="http://schemas.openxmlformats.org/officeDocument/2006/relationships/customXml" Target="../customXml/item26.xml"/><Relationship Id="rId20" Type="http://schemas.openxmlformats.org/officeDocument/2006/relationships/calcChain" Target="calcChain.xml"/><Relationship Id="rId41" Type="http://schemas.openxmlformats.org/officeDocument/2006/relationships/customXml" Target="../customXml/item21.xml"/><Relationship Id="rId54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49" Type="http://schemas.openxmlformats.org/officeDocument/2006/relationships/customXml" Target="../customXml/item29.xml"/><Relationship Id="rId57" Type="http://schemas.openxmlformats.org/officeDocument/2006/relationships/customXml" Target="../customXml/item37.xml"/><Relationship Id="rId10" Type="http://schemas.openxmlformats.org/officeDocument/2006/relationships/pivotCacheDefinition" Target="pivotCache/pivotCacheDefinition4.xml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52" Type="http://schemas.openxmlformats.org/officeDocument/2006/relationships/customXml" Target="../customXml/item3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[PreEntrega_Storytelling_SolisGerman.xlsx]TD_Dashboard!TablaDinámica5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300" b="1" i="0" u="none" strike="noStrike" kern="1200" spc="0" baseline="0">
                <a:solidFill>
                  <a:srgbClr val="17365D"/>
                </a:solidFill>
                <a:latin typeface="Aptos Display"/>
                <a:ea typeface="Aptos Display"/>
                <a:cs typeface="Aptos Display"/>
              </a:defRPr>
            </a:pPr>
            <a:r>
              <a:rPr lang="en-US"/>
              <a:t>Ventas y margen por categoría</a:t>
            </a:r>
          </a:p>
        </c:rich>
      </c:tx>
      <c:layout>
        <c:manualLayout>
          <c:xMode val="edge"/>
          <c:yMode val="edge"/>
          <c:x val="0.23868159203980099"/>
          <c:y val="4.8356040092846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300" b="1" i="0" u="none" strike="noStrike" kern="1200" spc="0" baseline="0">
              <a:solidFill>
                <a:srgbClr val="17365D"/>
              </a:solidFill>
              <a:latin typeface="Aptos Display"/>
              <a:ea typeface="Aptos Display"/>
              <a:cs typeface="Aptos Display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F75B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45A29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590566711705415"/>
          <c:y val="0.13835857524769959"/>
          <c:w val="0.70570827315224649"/>
          <c:h val="0.5099448270822295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TD_Dashboard!$B$6</c:f>
              <c:strCache>
                <c:ptCount val="1"/>
                <c:pt idx="0">
                  <c:v>Total Ventas</c:v>
                </c:pt>
              </c:strCache>
            </c:strRef>
          </c:tx>
          <c:spPr>
            <a:solidFill>
              <a:srgbClr val="2F75B5"/>
            </a:solidFill>
            <a:ln>
              <a:noFill/>
            </a:ln>
            <a:effectLst/>
          </c:spPr>
          <c:invertIfNegative val="0"/>
          <c:cat>
            <c:strRef>
              <c:f>TD_Dashboard!$A$7:$A$15</c:f>
              <c:strCache>
                <c:ptCount val="8"/>
                <c:pt idx="0">
                  <c:v>Belleza</c:v>
                </c:pt>
                <c:pt idx="1">
                  <c:v>Comestibles</c:v>
                </c:pt>
                <c:pt idx="2">
                  <c:v>Deportes y aire libre</c:v>
                </c:pt>
                <c:pt idx="3">
                  <c:v>Electrónica</c:v>
                </c:pt>
                <c:pt idx="4">
                  <c:v>Hogar y cocina</c:v>
                </c:pt>
                <c:pt idx="5">
                  <c:v>Juguetes y juegos</c:v>
                </c:pt>
                <c:pt idx="6">
                  <c:v>Ropa</c:v>
                </c:pt>
                <c:pt idx="7">
                  <c:v>Suministros de oficina</c:v>
                </c:pt>
              </c:strCache>
            </c:strRef>
          </c:cat>
          <c:val>
            <c:numRef>
              <c:f>TD_Dashboard!$B$7:$B$15</c:f>
              <c:numCache>
                <c:formatCode>\$\ #,##0.00;\-\$\ #,##0.00;\$\ #,##0.00</c:formatCode>
                <c:ptCount val="8"/>
                <c:pt idx="0">
                  <c:v>354847.88999999996</c:v>
                </c:pt>
                <c:pt idx="1">
                  <c:v>179144.21999999994</c:v>
                </c:pt>
                <c:pt idx="2">
                  <c:v>393756.54999999987</c:v>
                </c:pt>
                <c:pt idx="3">
                  <c:v>1238469.79</c:v>
                </c:pt>
                <c:pt idx="4">
                  <c:v>468877.88</c:v>
                </c:pt>
                <c:pt idx="5">
                  <c:v>500748.5799999999</c:v>
                </c:pt>
                <c:pt idx="6">
                  <c:v>473433.52</c:v>
                </c:pt>
                <c:pt idx="7">
                  <c:v>222270.56999999995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D-4FF6-A635-D825A3FA0BE3}"/>
            </c:ext>
          </c:extLst>
        </c:ser>
        <c:ser>
          <c:idx val="1"/>
          <c:order val="1"/>
          <c:tx>
            <c:strRef>
              <c:f>TD_Dashboard!$C$6</c:f>
              <c:strCache>
                <c:ptCount val="1"/>
                <c:pt idx="0">
                  <c:v>Margen Neto</c:v>
                </c:pt>
              </c:strCache>
            </c:strRef>
          </c:tx>
          <c:spPr>
            <a:solidFill>
              <a:srgbClr val="45A29E"/>
            </a:solidFill>
            <a:ln>
              <a:noFill/>
            </a:ln>
            <a:effectLst/>
          </c:spPr>
          <c:invertIfNegative val="0"/>
          <c:cat>
            <c:strRef>
              <c:f>TD_Dashboard!$A$7:$A$15</c:f>
              <c:strCache>
                <c:ptCount val="8"/>
                <c:pt idx="0">
                  <c:v>Belleza</c:v>
                </c:pt>
                <c:pt idx="1">
                  <c:v>Comestibles</c:v>
                </c:pt>
                <c:pt idx="2">
                  <c:v>Deportes y aire libre</c:v>
                </c:pt>
                <c:pt idx="3">
                  <c:v>Electrónica</c:v>
                </c:pt>
                <c:pt idx="4">
                  <c:v>Hogar y cocina</c:v>
                </c:pt>
                <c:pt idx="5">
                  <c:v>Juguetes y juegos</c:v>
                </c:pt>
                <c:pt idx="6">
                  <c:v>Ropa</c:v>
                </c:pt>
                <c:pt idx="7">
                  <c:v>Suministros de oficina</c:v>
                </c:pt>
              </c:strCache>
            </c:strRef>
          </c:cat>
          <c:val>
            <c:numRef>
              <c:f>TD_Dashboard!$C$7:$C$15</c:f>
              <c:numCache>
                <c:formatCode>\$\ #,##0.00;\-\$\ #,##0.00;\$\ #,##0.00</c:formatCode>
                <c:ptCount val="8"/>
                <c:pt idx="0">
                  <c:v>152908.62999999992</c:v>
                </c:pt>
                <c:pt idx="1">
                  <c:v>72589.409999999974</c:v>
                </c:pt>
                <c:pt idx="2">
                  <c:v>165803.36999999985</c:v>
                </c:pt>
                <c:pt idx="3">
                  <c:v>522114.46999999986</c:v>
                </c:pt>
                <c:pt idx="4">
                  <c:v>196571.87</c:v>
                </c:pt>
                <c:pt idx="5">
                  <c:v>217310.89999999991</c:v>
                </c:pt>
                <c:pt idx="6">
                  <c:v>204569.77000000014</c:v>
                </c:pt>
                <c:pt idx="7">
                  <c:v>99303.019999999975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6D-4FF6-A635-D825A3FA0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59833856"/>
        <c:axId val="892976559"/>
      </c:barChart>
      <c:catAx>
        <c:axId val="105983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92976559"/>
        <c:crosses val="autoZero"/>
        <c:auto val="1"/>
        <c:lblAlgn val="ctr"/>
        <c:lblOffset val="100"/>
        <c:noMultiLvlLbl val="0"/>
      </c:catAx>
      <c:valAx>
        <c:axId val="89297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\ #,##0.00;\-\$\ #,##0.00;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59833856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</c:dispUnitsLbl>
        </c:dispUnits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[PreEntrega_Storytelling_SolisGerman.xlsx]TD_Dashboard!TablaDinámica6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rgbClr val="17365D"/>
                </a:solidFill>
                <a:latin typeface="Aptos Display"/>
                <a:ea typeface="Aptos Display"/>
                <a:cs typeface="Aptos Display"/>
              </a:defRPr>
            </a:pPr>
            <a:r>
              <a:rPr lang="en-US"/>
              <a:t>Unidades vendidas por 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rgbClr val="17365D"/>
              </a:solidFill>
              <a:latin typeface="Aptos Display"/>
              <a:ea typeface="Aptos Display"/>
              <a:cs typeface="Aptos Display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D7D3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TD_Dashboard!$F$6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TD_Dashboard!$E$7:$E$15</c:f>
              <c:strCache>
                <c:ptCount val="8"/>
                <c:pt idx="0">
                  <c:v>Belleza</c:v>
                </c:pt>
                <c:pt idx="1">
                  <c:v>Comestibles</c:v>
                </c:pt>
                <c:pt idx="2">
                  <c:v>Deportes y aire libre</c:v>
                </c:pt>
                <c:pt idx="3">
                  <c:v>Electrónica</c:v>
                </c:pt>
                <c:pt idx="4">
                  <c:v>Hogar y cocina</c:v>
                </c:pt>
                <c:pt idx="5">
                  <c:v>Juguetes y juegos</c:v>
                </c:pt>
                <c:pt idx="6">
                  <c:v>Ropa</c:v>
                </c:pt>
                <c:pt idx="7">
                  <c:v>Suministros de oficina</c:v>
                </c:pt>
              </c:strCache>
            </c:strRef>
          </c:cat>
          <c:val>
            <c:numRef>
              <c:f>TD_Dashboard!$F$7:$F$15</c:f>
              <c:numCache>
                <c:formatCode>General</c:formatCode>
                <c:ptCount val="8"/>
                <c:pt idx="0">
                  <c:v>18137</c:v>
                </c:pt>
                <c:pt idx="1">
                  <c:v>15364</c:v>
                </c:pt>
                <c:pt idx="2">
                  <c:v>16979</c:v>
                </c:pt>
                <c:pt idx="3">
                  <c:v>17621</c:v>
                </c:pt>
                <c:pt idx="4">
                  <c:v>18387</c:v>
                </c:pt>
                <c:pt idx="5">
                  <c:v>19704</c:v>
                </c:pt>
                <c:pt idx="6">
                  <c:v>13736</c:v>
                </c:pt>
                <c:pt idx="7">
                  <c:v>17112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1-4B43-AFE2-AA8DFB3B0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0034431"/>
        <c:axId val="892913679"/>
      </c:barChart>
      <c:catAx>
        <c:axId val="1830034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92913679"/>
        <c:crosses val="autoZero"/>
        <c:auto val="1"/>
        <c:lblAlgn val="ctr"/>
        <c:lblOffset val="100"/>
        <c:noMultiLvlLbl val="0"/>
      </c:catAx>
      <c:valAx>
        <c:axId val="892913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3003443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7</xdr:col>
      <xdr:colOff>0</xdr:colOff>
      <xdr:row>23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FA113DF-86AC-4892-A7F4-72C4AD765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9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44623E-FEB3-4797-9B6F-B3EDC32A0C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393700</xdr:colOff>
      <xdr:row>1</xdr:row>
      <xdr:rowOff>46318</xdr:rowOff>
    </xdr:from>
    <xdr:to>
      <xdr:col>12</xdr:col>
      <xdr:colOff>673100</xdr:colOff>
      <xdr:row>7</xdr:row>
      <xdr:rowOff>128045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ID_Proveedor">
              <a:extLst>
                <a:ext uri="{FF2B5EF4-FFF2-40B4-BE49-F238E27FC236}">
                  <a16:creationId xmlns:a16="http://schemas.microsoft.com/office/drawing/2014/main" id="{6B5006A3-1D72-45B3-B436-0E80E9A979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D_Proveed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8500" y="431800"/>
              <a:ext cx="1346200" cy="2009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50800</xdr:colOff>
      <xdr:row>1</xdr:row>
      <xdr:rowOff>46318</xdr:rowOff>
    </xdr:from>
    <xdr:to>
      <xdr:col>11</xdr:col>
      <xdr:colOff>330200</xdr:colOff>
      <xdr:row>7</xdr:row>
      <xdr:rowOff>128045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ategoría">
              <a:extLst>
                <a:ext uri="{FF2B5EF4-FFF2-40B4-BE49-F238E27FC236}">
                  <a16:creationId xmlns:a16="http://schemas.microsoft.com/office/drawing/2014/main" id="{31E0C95F-D63E-4387-9885-58158AA543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8800" y="431800"/>
              <a:ext cx="1346200" cy="2009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736600</xdr:colOff>
      <xdr:row>1</xdr:row>
      <xdr:rowOff>46318</xdr:rowOff>
    </xdr:from>
    <xdr:to>
      <xdr:col>13</xdr:col>
      <xdr:colOff>1016000</xdr:colOff>
      <xdr:row>7</xdr:row>
      <xdr:rowOff>128045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Unidades vendidas">
              <a:extLst>
                <a:ext uri="{FF2B5EF4-FFF2-40B4-BE49-F238E27FC236}">
                  <a16:creationId xmlns:a16="http://schemas.microsoft.com/office/drawing/2014/main" id="{A8364E48-903B-4543-851A-1C2E8BA271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s vendida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38200" y="431800"/>
              <a:ext cx="1346200" cy="2009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erman Agustin Solis" refreshedDate="46288.423636921296" backgroundQuery="1" createdVersion="8" refreshedVersion="8" minRefreshableVersion="3" recordCount="0" supportSubquery="1" supportAdvancedDrill="1" xr:uid="{35603AE1-9632-4476-987A-32F09EFB1D2D}">
  <cacheSource type="external" connectionId="6"/>
  <cacheFields count="3">
    <cacheField name="[Measures].[Total Ventas]" caption="Total Ventas" numFmtId="0" hierarchy="26" level="32767"/>
    <cacheField name="[Measures].[Margen Neto]" caption="Margen Neto" numFmtId="0" hierarchy="27" level="32767"/>
    <cacheField name="[Measures].[% Margen Ganancia]" caption="% Margen Ganancia" numFmtId="0" hierarchy="28" level="32767"/>
  </cacheFields>
  <cacheHierarchies count="35">
    <cacheHierarchy uniqueName="[Dim_Categoria].[Categoría]" caption="Categoría" attribute="1" defaultMemberUniqueName="[Dim_Categoria].[Categoría].[All]" allUniqueName="[Dim_Categoria].[Categoría].[All]" dimensionUniqueName="[Dim_Categoria]" displayFolder="" count="2" memberValueDatatype="130" unbalanced="0"/>
    <cacheHierarchy uniqueName="[Dim_Categoria].[ID_Categoria]" caption="ID_Categoria" attribute="1" defaultMemberUniqueName="[Dim_Categoria].[ID_Categoria].[All]" allUniqueName="[Dim_Categoria].[ID_Categoria].[All]" dimensionUniqueName="[Dim_Categoria]" displayFolder="" count="0" memberValueDatatype="130" unbalanced="0"/>
    <cacheHierarchy uniqueName="[Dim_Proveedor].[ID_Proveedor]" caption="ID_Proveedor" attribute="1" defaultMemberUniqueName="[Dim_Proveedor].[ID_Proveedor].[All]" allUniqueName="[Dim_Proveedor].[ID_Proveedor].[All]" dimensionUniqueName="[Dim_Proveedor]" displayFolder="" count="0" memberValueDatatype="20" unbalanced="0"/>
    <cacheHierarchy uniqueName="[Dim_Proveedor].[Nombre del proveedor]" caption="Nombre del proveedor" attribute="1" defaultMemberUniqueName="[Dim_Proveedor].[Nombre del proveedor].[All]" allUniqueName="[Dim_Proveedor].[Nombre del proveedor].[All]" dimensionUniqueName="[Dim_Proveedor]" displayFolder="" count="0" memberValueDatatype="130" unbalanced="0"/>
    <cacheHierarchy uniqueName="[Fact_Inventario].[Costo unitario]" caption="Costo unitario" attribute="1" defaultMemberUniqueName="[Fact_Inventario].[Costo unitario].[All]" allUniqueName="[Fact_Inventario].[Costo unitario].[All]" dimensionUniqueName="[Fact_Inventario]" displayFolder="" count="0" memberValueDatatype="5" unbalanced="0"/>
    <cacheHierarchy uniqueName="[Fact_Inventario].[Estado del stock]" caption="Estado del stock" attribute="1" defaultMemberUniqueName="[Fact_Inventario].[Estado del stock].[All]" allUniqueName="[Fact_Inventario].[Estado del stock].[All]" dimensionUniqueName="[Fact_Inventario]" displayFolder="" count="0" memberValueDatatype="130" unbalanced="0"/>
    <cacheHierarchy uniqueName="[Fact_Inventario].[ID del producto]" caption="ID del producto" attribute="1" defaultMemberUniqueName="[Fact_Inventario].[ID del producto].[All]" allUniqueName="[Fact_Inventario].[ID del producto].[All]" dimensionUniqueName="[Fact_Inventario]" displayFolder="" count="0" memberValueDatatype="130" unbalanced="0"/>
    <cacheHierarchy uniqueName="[Fact_Inventario].[ID_Categoria]" caption="ID_Categoria" attribute="1" defaultMemberUniqueName="[Fact_Inventario].[ID_Categoria].[All]" allUniqueName="[Fact_Inventario].[ID_Categoria].[All]" dimensionUniqueName="[Fact_Inventario]" displayFolder="" count="0" memberValueDatatype="130" unbalanced="0"/>
    <cacheHierarchy uniqueName="[Fact_Inventario].[ID_Proveedor]" caption="ID_Proveedor" attribute="1" defaultMemberUniqueName="[Fact_Inventario].[ID_Proveedor].[All]" allUniqueName="[Fact_Inventario].[ID_Proveedor].[All]" dimensionUniqueName="[Fact_Inventario]" displayFolder="" count="2" memberValueDatatype="20" unbalanced="0"/>
    <cacheHierarchy uniqueName="[Fact_Inventario].[Nombre del producto]" caption="Nombre del producto" attribute="1" defaultMemberUniqueName="[Fact_Inventario].[Nombre del producto].[All]" allUniqueName="[Fact_Inventario].[Nombre del producto].[All]" dimensionUniqueName="[Fact_Inventario]" displayFolder="" count="0" memberValueDatatype="130" unbalanced="0"/>
    <cacheHierarchy uniqueName="[Fact_Inventario].[Precio minorista]" caption="Precio minorista" attribute="1" defaultMemberUniqueName="[Fact_Inventario].[Precio minorista].[All]" allUniqueName="[Fact_Inventario].[Precio minorista].[All]" dimensionUniqueName="[Fact_Inventario]" displayFolder="" count="0" memberValueDatatype="5" unbalanced="0"/>
    <cacheHierarchy uniqueName="[Fact_Inventario].[Punto de reposición]" caption="Punto de reposición" attribute="1" defaultMemberUniqueName="[Fact_Inventario].[Punto de reposición].[All]" allUniqueName="[Fact_Inventario].[Punto de reposición].[All]" dimensionUniqueName="[Fact_Inventario]" displayFolder="" count="0" memberValueDatatype="20" unbalanced="0"/>
    <cacheHierarchy uniqueName="[Fact_Inventario].[Stock final]" caption="Stock final" attribute="1" defaultMemberUniqueName="[Fact_Inventario].[Stock final].[All]" allUniqueName="[Fact_Inventario].[Stock final].[All]" dimensionUniqueName="[Fact_Inventario]" displayFolder="" count="0" memberValueDatatype="20" unbalanced="0"/>
    <cacheHierarchy uniqueName="[Fact_Inventario].[Stock inicial]" caption="Stock inicial" attribute="1" defaultMemberUniqueName="[Fact_Inventario].[Stock inicial].[All]" allUniqueName="[Fact_Inventario].[Stock inicial].[All]" dimensionUniqueName="[Fact_Inventario]" displayFolder="" count="0" memberValueDatatype="20" unbalanced="0"/>
    <cacheHierarchy uniqueName="[Fact_Inventario].[Unidades vendidas]" caption="Unidades vendidas" attribute="1" defaultMemberUniqueName="[Fact_Inventario].[Unidades vendidas].[All]" allUniqueName="[Fact_Inventario].[Unidades vendidas].[All]" dimensionUniqueName="[Fact_Inventario]" displayFolder="" count="2" memberValueDatatype="20" unbalanced="0"/>
    <cacheHierarchy uniqueName="[01 Retail Inventory  1].[Categoría]" caption="Categoría" attribute="1" defaultMemberUniqueName="[01 Retail Inventory  1].[Categoría].[All]" allUniqueName="[01 Retail Inventory  1].[Categoría].[All]" dimensionUniqueName="[01 Retail Inventory  1]" displayFolder="" count="0" memberValueDatatype="130" unbalanced="0" hidden="1"/>
    <cacheHierarchy uniqueName="[01 Retail Inventory  1].[Costo unitario]" caption="Costo unitario" attribute="1" defaultMemberUniqueName="[01 Retail Inventory  1].[Costo unitario].[All]" allUniqueName="[01 Retail Inventory  1].[Costo unitario].[All]" dimensionUniqueName="[01 Retail Inventory  1]" displayFolder="" count="0" memberValueDatatype="5" unbalanced="0" hidden="1"/>
    <cacheHierarchy uniqueName="[01 Retail Inventory  1].[Estado del stock]" caption="Estado del stock" attribute="1" defaultMemberUniqueName="[01 Retail Inventory  1].[Estado del stock].[All]" allUniqueName="[01 Retail Inventory  1].[Estado del stock].[All]" dimensionUniqueName="[01 Retail Inventory  1]" displayFolder="" count="0" memberValueDatatype="130" unbalanced="0" hidden="1"/>
    <cacheHierarchy uniqueName="[01 Retail Inventory  1].[ID del producto]" caption="ID del producto" attribute="1" defaultMemberUniqueName="[01 Retail Inventory  1].[ID del producto].[All]" allUniqueName="[01 Retail Inventory  1].[ID del producto].[All]" dimensionUniqueName="[01 Retail Inventory  1]" displayFolder="" count="0" memberValueDatatype="130" unbalanced="0" hidden="1"/>
    <cacheHierarchy uniqueName="[01 Retail Inventory  1].[Nombre del producto]" caption="Nombre del producto" attribute="1" defaultMemberUniqueName="[01 Retail Inventory  1].[Nombre del producto].[All]" allUniqueName="[01 Retail Inventory  1].[Nombre del producto].[All]" dimensionUniqueName="[01 Retail Inventory  1]" displayFolder="" count="0" memberValueDatatype="130" unbalanced="0" hidden="1"/>
    <cacheHierarchy uniqueName="[01 Retail Inventory  1].[Nombre del proveedor]" caption="Nombre del proveedor" attribute="1" defaultMemberUniqueName="[01 Retail Inventory  1].[Nombre del proveedor].[All]" allUniqueName="[01 Retail Inventory  1].[Nombre del proveedor].[All]" dimensionUniqueName="[01 Retail Inventory  1]" displayFolder="" count="0" memberValueDatatype="130" unbalanced="0" hidden="1"/>
    <cacheHierarchy uniqueName="[01 Retail Inventory  1].[Precio minorista]" caption="Precio minorista" attribute="1" defaultMemberUniqueName="[01 Retail Inventory  1].[Precio minorista].[All]" allUniqueName="[01 Retail Inventory  1].[Precio minorista].[All]" dimensionUniqueName="[01 Retail Inventory  1]" displayFolder="" count="0" memberValueDatatype="5" unbalanced="0" hidden="1"/>
    <cacheHierarchy uniqueName="[01 Retail Inventory  1].[Punto de reposición]" caption="Punto de reposición" attribute="1" defaultMemberUniqueName="[01 Retail Inventory  1].[Punto de reposición].[All]" allUniqueName="[01 Retail Inventory  1].[Punto de reposición].[All]" dimensionUniqueName="[01 Retail Inventory  1]" displayFolder="" count="0" memberValueDatatype="20" unbalanced="0" hidden="1"/>
    <cacheHierarchy uniqueName="[01 Retail Inventory  1].[Stock final]" caption="Stock final" attribute="1" defaultMemberUniqueName="[01 Retail Inventory  1].[Stock final].[All]" allUniqueName="[01 Retail Inventory  1].[Stock final].[All]" dimensionUniqueName="[01 Retail Inventory  1]" displayFolder="" count="0" memberValueDatatype="20" unbalanced="0" hidden="1"/>
    <cacheHierarchy uniqueName="[01 Retail Inventory  1].[Stock inicial]" caption="Stock inicial" attribute="1" defaultMemberUniqueName="[01 Retail Inventory  1].[Stock inicial].[All]" allUniqueName="[01 Retail Inventory  1].[Stock inicial].[All]" dimensionUniqueName="[01 Retail Inventory  1]" displayFolder="" count="0" memberValueDatatype="20" unbalanced="0" hidden="1"/>
    <cacheHierarchy uniqueName="[01 Retail Inventory  1].[Unidades vendidas]" caption="Unidades vendidas" attribute="1" defaultMemberUniqueName="[01 Retail Inventory  1].[Unidades vendidas].[All]" allUniqueName="[01 Retail Inventory  1].[Unidades vendidas].[All]" dimensionUniqueName="[01 Retail Inventory  1]" displayFolder="" count="0" memberValueDatatype="20" unbalanced="0" hidden="1"/>
    <cacheHierarchy uniqueName="[Measures].[Total Ventas]" caption="Total Ventas" measure="1" displayFolder="" measureGroup="Fact_Inventario" count="0" oneField="1">
      <fieldsUsage count="1">
        <fieldUsage x="0"/>
      </fieldsUsage>
    </cacheHierarchy>
    <cacheHierarchy uniqueName="[Measures].[Margen Neto]" caption="Margen Neto" measure="1" displayFolder="" measureGroup="Fact_Inventario" count="0" oneField="1">
      <fieldsUsage count="1">
        <fieldUsage x="1"/>
      </fieldsUsage>
    </cacheHierarchy>
    <cacheHierarchy uniqueName="[Measures].[% Margen Ganancia]" caption="% Margen Ganancia" measure="1" displayFolder="" measureGroup="Fact_Inventario" count="0" oneField="1">
      <fieldsUsage count="1">
        <fieldUsage x="2"/>
      </fieldsUsage>
    </cacheHierarchy>
    <cacheHierarchy uniqueName="[Measures].[__XL_Count 01 Retail Inventory  1]" caption="__XL_Count 01 Retail Inventory  1" measure="1" displayFolder="" measureGroup="01 Retail Inventory  1" count="0" hidden="1"/>
    <cacheHierarchy uniqueName="[Measures].[__XL_Count Dim_Categoria]" caption="__XL_Count Dim_Categoria" measure="1" displayFolder="" measureGroup="Dim_Categoria" count="0" hidden="1"/>
    <cacheHierarchy uniqueName="[Measures].[__XL_Count Dim_Proveedor]" caption="__XL_Count Dim_Proveedor" measure="1" displayFolder="" measureGroup="Dim_Proveedor" count="0" hidden="1"/>
    <cacheHierarchy uniqueName="[Measures].[__XL_Count Fact_Inventario]" caption="__XL_Count Fact_Inventario" measure="1" displayFolder="" measureGroup="Fact_Inventario" count="0" hidden="1"/>
    <cacheHierarchy uniqueName="[Measures].[__No measures defined]" caption="__No measures defined" measure="1" displayFolder="" count="0" hidden="1"/>
    <cacheHierarchy uniqueName="[Measures].[Suma de Unidades vendidas]" caption="Suma de Unidades vendidas" measure="1" displayFolder="" measureGroup="Fact_Inventari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4">
    <dimension name="Dim_Categoria" uniqueName="[Dim_Categoria]" caption="Dim_Categoria"/>
    <dimension name="Dim_Proveedor" uniqueName="[Dim_Proveedor]" caption="Dim_Proveedor"/>
    <dimension name="Fact_Inventario" uniqueName="[Fact_Inventario]" caption="Fact_Inventario"/>
    <dimension measure="1" name="Measures" uniqueName="[Measures]" caption="Measures"/>
  </dimensions>
  <measureGroups count="4">
    <measureGroup name="01 Retail Inventory  1" caption="01 Retail Inventory  1"/>
    <measureGroup name="Dim_Categoria" caption="Dim_Categoria"/>
    <measureGroup name="Dim_Proveedor" caption="Dim_Proveedor"/>
    <measureGroup name="Fact_Inventario" caption="Fact_Inventario"/>
  </measureGroups>
  <maps count="5">
    <map measureGroup="1" dimension="0"/>
    <map measureGroup="2" dimension="1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erman Agustin Solis" refreshedDate="46288.423637962966" backgroundQuery="1" createdVersion="8" refreshedVersion="8" minRefreshableVersion="3" recordCount="0" supportSubquery="1" supportAdvancedDrill="1" xr:uid="{65F60500-F75E-462A-B560-B8FB2DF7220D}">
  <cacheSource type="external" connectionId="6"/>
  <cacheFields count="3">
    <cacheField name="[Dim_Categoria].[Categoría].[Categoría]" caption="Categoría" numFmtId="0" level="1">
      <sharedItems count="8">
        <s v="Belleza"/>
        <s v="Comestibles"/>
        <s v="Deportes y aire libre"/>
        <s v="Electrónica"/>
        <s v="Hogar y cocina"/>
        <s v="Juguetes y juegos"/>
        <s v="Ropa"/>
        <s v="Suministros de oficina"/>
      </sharedItems>
    </cacheField>
    <cacheField name="[Measures].[Total Ventas]" caption="Total Ventas" numFmtId="0" hierarchy="26" level="32767"/>
    <cacheField name="[Measures].[Margen Neto]" caption="Margen Neto" numFmtId="0" hierarchy="27" level="32767"/>
  </cacheFields>
  <cacheHierarchies count="35">
    <cacheHierarchy uniqueName="[Dim_Categoria].[Categoría]" caption="Categoría" attribute="1" defaultMemberUniqueName="[Dim_Categoria].[Categoría].[All]" allUniqueName="[Dim_Categoria].[Categoría].[All]" dimensionUniqueName="[Dim_Categoria]" displayFolder="" count="2" memberValueDatatype="130" unbalanced="0">
      <fieldsUsage count="2">
        <fieldUsage x="-1"/>
        <fieldUsage x="0"/>
      </fieldsUsage>
    </cacheHierarchy>
    <cacheHierarchy uniqueName="[Dim_Categoria].[ID_Categoria]" caption="ID_Categoria" attribute="1" defaultMemberUniqueName="[Dim_Categoria].[ID_Categoria].[All]" allUniqueName="[Dim_Categoria].[ID_Categoria].[All]" dimensionUniqueName="[Dim_Categoria]" displayFolder="" count="2" memberValueDatatype="130" unbalanced="0"/>
    <cacheHierarchy uniqueName="[Dim_Proveedor].[ID_Proveedor]" caption="ID_Proveedor" attribute="1" defaultMemberUniqueName="[Dim_Proveedor].[ID_Proveedor].[All]" allUniqueName="[Dim_Proveedor].[ID_Proveedor].[All]" dimensionUniqueName="[Dim_Proveedor]" displayFolder="" count="2" memberValueDatatype="20" unbalanced="0"/>
    <cacheHierarchy uniqueName="[Dim_Proveedor].[Nombre del proveedor]" caption="Nombre del proveedor" attribute="1" defaultMemberUniqueName="[Dim_Proveedor].[Nombre del proveedor].[All]" allUniqueName="[Dim_Proveedor].[Nombre del proveedor].[All]" dimensionUniqueName="[Dim_Proveedor]" displayFolder="" count="2" memberValueDatatype="130" unbalanced="0"/>
    <cacheHierarchy uniqueName="[Fact_Inventario].[Costo unitario]" caption="Costo unitario" attribute="1" defaultMemberUniqueName="[Fact_Inventario].[Costo unitario].[All]" allUniqueName="[Fact_Inventario].[Costo unitario].[All]" dimensionUniqueName="[Fact_Inventario]" displayFolder="" count="2" memberValueDatatype="5" unbalanced="0"/>
    <cacheHierarchy uniqueName="[Fact_Inventario].[Estado del stock]" caption="Estado del stock" attribute="1" defaultMemberUniqueName="[Fact_Inventario].[Estado del stock].[All]" allUniqueName="[Fact_Inventario].[Estado del stock].[All]" dimensionUniqueName="[Fact_Inventario]" displayFolder="" count="2" memberValueDatatype="130" unbalanced="0"/>
    <cacheHierarchy uniqueName="[Fact_Inventario].[ID del producto]" caption="ID del producto" attribute="1" defaultMemberUniqueName="[Fact_Inventario].[ID del producto].[All]" allUniqueName="[Fact_Inventario].[ID del producto].[All]" dimensionUniqueName="[Fact_Inventario]" displayFolder="" count="2" memberValueDatatype="130" unbalanced="0"/>
    <cacheHierarchy uniqueName="[Fact_Inventario].[ID_Categoria]" caption="ID_Categoria" attribute="1" defaultMemberUniqueName="[Fact_Inventario].[ID_Categoria].[All]" allUniqueName="[Fact_Inventario].[ID_Categoria].[All]" dimensionUniqueName="[Fact_Inventario]" displayFolder="" count="2" memberValueDatatype="130" unbalanced="0"/>
    <cacheHierarchy uniqueName="[Fact_Inventario].[ID_Proveedor]" caption="ID_Proveedor" attribute="1" defaultMemberUniqueName="[Fact_Inventario].[ID_Proveedor].[All]" allUniqueName="[Fact_Inventario].[ID_Proveedor].[All]" dimensionUniqueName="[Fact_Inventario]" displayFolder="" count="2" memberValueDatatype="20" unbalanced="0"/>
    <cacheHierarchy uniqueName="[Fact_Inventario].[Nombre del producto]" caption="Nombre del producto" attribute="1" defaultMemberUniqueName="[Fact_Inventario].[Nombre del producto].[All]" allUniqueName="[Fact_Inventario].[Nombre del producto].[All]" dimensionUniqueName="[Fact_Inventario]" displayFolder="" count="2" memberValueDatatype="130" unbalanced="0"/>
    <cacheHierarchy uniqueName="[Fact_Inventario].[Precio minorista]" caption="Precio minorista" attribute="1" defaultMemberUniqueName="[Fact_Inventario].[Precio minorista].[All]" allUniqueName="[Fact_Inventario].[Precio minorista].[All]" dimensionUniqueName="[Fact_Inventario]" displayFolder="" count="2" memberValueDatatype="5" unbalanced="0"/>
    <cacheHierarchy uniqueName="[Fact_Inventario].[Punto de reposición]" caption="Punto de reposición" attribute="1" defaultMemberUniqueName="[Fact_Inventario].[Punto de reposición].[All]" allUniqueName="[Fact_Inventario].[Punto de reposición].[All]" dimensionUniqueName="[Fact_Inventario]" displayFolder="" count="2" memberValueDatatype="20" unbalanced="0"/>
    <cacheHierarchy uniqueName="[Fact_Inventario].[Stock final]" caption="Stock final" attribute="1" defaultMemberUniqueName="[Fact_Inventario].[Stock final].[All]" allUniqueName="[Fact_Inventario].[Stock final].[All]" dimensionUniqueName="[Fact_Inventario]" displayFolder="" count="2" memberValueDatatype="20" unbalanced="0"/>
    <cacheHierarchy uniqueName="[Fact_Inventario].[Stock inicial]" caption="Stock inicial" attribute="1" defaultMemberUniqueName="[Fact_Inventario].[Stock inicial].[All]" allUniqueName="[Fact_Inventario].[Stock inicial].[All]" dimensionUniqueName="[Fact_Inventario]" displayFolder="" count="2" memberValueDatatype="20" unbalanced="0"/>
    <cacheHierarchy uniqueName="[Fact_Inventario].[Unidades vendidas]" caption="Unidades vendidas" attribute="1" defaultMemberUniqueName="[Fact_Inventario].[Unidades vendidas].[All]" allUniqueName="[Fact_Inventario].[Unidades vendidas].[All]" dimensionUniqueName="[Fact_Inventario]" displayFolder="" count="2" memberValueDatatype="20" unbalanced="0"/>
    <cacheHierarchy uniqueName="[01 Retail Inventory  1].[Categoría]" caption="Categoría" attribute="1" defaultMemberUniqueName="[01 Retail Inventory  1].[Categoría].[All]" allUniqueName="[01 Retail Inventory  1].[Categoría].[All]" dimensionUniqueName="[01 Retail Inventory  1]" displayFolder="" count="2" memberValueDatatype="130" unbalanced="0" hidden="1"/>
    <cacheHierarchy uniqueName="[01 Retail Inventory  1].[Costo unitario]" caption="Costo unitario" attribute="1" defaultMemberUniqueName="[01 Retail Inventory  1].[Costo unitario].[All]" allUniqueName="[01 Retail Inventory  1].[Costo unitario].[All]" dimensionUniqueName="[01 Retail Inventory  1]" displayFolder="" count="2" memberValueDatatype="5" unbalanced="0" hidden="1"/>
    <cacheHierarchy uniqueName="[01 Retail Inventory  1].[Estado del stock]" caption="Estado del stock" attribute="1" defaultMemberUniqueName="[01 Retail Inventory  1].[Estado del stock].[All]" allUniqueName="[01 Retail Inventory  1].[Estado del stock].[All]" dimensionUniqueName="[01 Retail Inventory  1]" displayFolder="" count="2" memberValueDatatype="130" unbalanced="0" hidden="1"/>
    <cacheHierarchy uniqueName="[01 Retail Inventory  1].[ID del producto]" caption="ID del producto" attribute="1" defaultMemberUniqueName="[01 Retail Inventory  1].[ID del producto].[All]" allUniqueName="[01 Retail Inventory  1].[ID del producto].[All]" dimensionUniqueName="[01 Retail Inventory  1]" displayFolder="" count="2" memberValueDatatype="130" unbalanced="0" hidden="1"/>
    <cacheHierarchy uniqueName="[01 Retail Inventory  1].[Nombre del producto]" caption="Nombre del producto" attribute="1" defaultMemberUniqueName="[01 Retail Inventory  1].[Nombre del producto].[All]" allUniqueName="[01 Retail Inventory  1].[Nombre del producto].[All]" dimensionUniqueName="[01 Retail Inventory  1]" displayFolder="" count="2" memberValueDatatype="130" unbalanced="0" hidden="1"/>
    <cacheHierarchy uniqueName="[01 Retail Inventory  1].[Nombre del proveedor]" caption="Nombre del proveedor" attribute="1" defaultMemberUniqueName="[01 Retail Inventory  1].[Nombre del proveedor].[All]" allUniqueName="[01 Retail Inventory  1].[Nombre del proveedor].[All]" dimensionUniqueName="[01 Retail Inventory  1]" displayFolder="" count="2" memberValueDatatype="130" unbalanced="0" hidden="1"/>
    <cacheHierarchy uniqueName="[01 Retail Inventory  1].[Precio minorista]" caption="Precio minorista" attribute="1" defaultMemberUniqueName="[01 Retail Inventory  1].[Precio minorista].[All]" allUniqueName="[01 Retail Inventory  1].[Precio minorista].[All]" dimensionUniqueName="[01 Retail Inventory  1]" displayFolder="" count="2" memberValueDatatype="5" unbalanced="0" hidden="1"/>
    <cacheHierarchy uniqueName="[01 Retail Inventory  1].[Punto de reposición]" caption="Punto de reposición" attribute="1" defaultMemberUniqueName="[01 Retail Inventory  1].[Punto de reposición].[All]" allUniqueName="[01 Retail Inventory  1].[Punto de reposición].[All]" dimensionUniqueName="[01 Retail Inventory  1]" displayFolder="" count="2" memberValueDatatype="20" unbalanced="0" hidden="1"/>
    <cacheHierarchy uniqueName="[01 Retail Inventory  1].[Stock final]" caption="Stock final" attribute="1" defaultMemberUniqueName="[01 Retail Inventory  1].[Stock final].[All]" allUniqueName="[01 Retail Inventory  1].[Stock final].[All]" dimensionUniqueName="[01 Retail Inventory  1]" displayFolder="" count="2" memberValueDatatype="20" unbalanced="0" hidden="1"/>
    <cacheHierarchy uniqueName="[01 Retail Inventory  1].[Stock inicial]" caption="Stock inicial" attribute="1" defaultMemberUniqueName="[01 Retail Inventory  1].[Stock inicial].[All]" allUniqueName="[01 Retail Inventory  1].[Stock inicial].[All]" dimensionUniqueName="[01 Retail Inventory  1]" displayFolder="" count="2" memberValueDatatype="20" unbalanced="0" hidden="1"/>
    <cacheHierarchy uniqueName="[01 Retail Inventory  1].[Unidades vendidas]" caption="Unidades vendidas" attribute="1" defaultMemberUniqueName="[01 Retail Inventory  1].[Unidades vendidas].[All]" allUniqueName="[01 Retail Inventory  1].[Unidades vendidas].[All]" dimensionUniqueName="[01 Retail Inventory  1]" displayFolder="" count="2" memberValueDatatype="20" unbalanced="0" hidden="1"/>
    <cacheHierarchy uniqueName="[Measures].[Total Ventas]" caption="Total Ventas" measure="1" displayFolder="" measureGroup="Fact_Inventario" count="0" oneField="1">
      <fieldsUsage count="1">
        <fieldUsage x="1"/>
      </fieldsUsage>
    </cacheHierarchy>
    <cacheHierarchy uniqueName="[Measures].[Margen Neto]" caption="Margen Neto" measure="1" displayFolder="" measureGroup="Fact_Inventario" count="0" oneField="1">
      <fieldsUsage count="1">
        <fieldUsage x="2"/>
      </fieldsUsage>
    </cacheHierarchy>
    <cacheHierarchy uniqueName="[Measures].[% Margen Ganancia]" caption="% Margen Ganancia" measure="1" displayFolder="" measureGroup="Fact_Inventario" count="0"/>
    <cacheHierarchy uniqueName="[Measures].[__XL_Count 01 Retail Inventory  1]" caption="__XL_Count 01 Retail Inventory  1" measure="1" displayFolder="" measureGroup="01 Retail Inventory  1" count="0" hidden="1"/>
    <cacheHierarchy uniqueName="[Measures].[__XL_Count Dim_Categoria]" caption="__XL_Count Dim_Categoria" measure="1" displayFolder="" measureGroup="Dim_Categoria" count="0" hidden="1"/>
    <cacheHierarchy uniqueName="[Measures].[__XL_Count Dim_Proveedor]" caption="__XL_Count Dim_Proveedor" measure="1" displayFolder="" measureGroup="Dim_Proveedor" count="0" hidden="1"/>
    <cacheHierarchy uniqueName="[Measures].[__XL_Count Fact_Inventario]" caption="__XL_Count Fact_Inventario" measure="1" displayFolder="" measureGroup="Fact_Inventario" count="0" hidden="1"/>
    <cacheHierarchy uniqueName="[Measures].[__No measures defined]" caption="__No measures defined" measure="1" displayFolder="" count="0" hidden="1"/>
    <cacheHierarchy uniqueName="[Measures].[Suma de Unidades vendidas]" caption="Suma de Unidades vendidas" measure="1" displayFolder="" measureGroup="Fact_Inventari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4">
    <dimension name="Dim_Categoria" uniqueName="[Dim_Categoria]" caption="Dim_Categoria"/>
    <dimension name="Dim_Proveedor" uniqueName="[Dim_Proveedor]" caption="Dim_Proveedor"/>
    <dimension name="Fact_Inventario" uniqueName="[Fact_Inventario]" caption="Fact_Inventario"/>
    <dimension measure="1" name="Measures" uniqueName="[Measures]" caption="Measures"/>
  </dimensions>
  <measureGroups count="4">
    <measureGroup name="01 Retail Inventory  1" caption="01 Retail Inventory  1"/>
    <measureGroup name="Dim_Categoria" caption="Dim_Categoria"/>
    <measureGroup name="Dim_Proveedor" caption="Dim_Proveedor"/>
    <measureGroup name="Fact_Inventario" caption="Fact_Inventario"/>
  </measureGroups>
  <maps count="5">
    <map measureGroup="1" dimension="0"/>
    <map measureGroup="2" dimension="1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erman Agustin Solis" refreshedDate="46288.424453356478" backgroundQuery="1" createdVersion="8" refreshedVersion="8" minRefreshableVersion="3" recordCount="0" supportSubquery="1" supportAdvancedDrill="1" xr:uid="{DF490266-33A2-42E9-BF40-DBC6E19673DF}">
  <cacheSource type="external" connectionId="6"/>
  <cacheFields count="3">
    <cacheField name="[Measures].[Suma de Unidades vendidas]" caption="Suma de Unidades vendidas" numFmtId="0" hierarchy="34" level="32767"/>
    <cacheField name="[Dim_Categoria].[Categoría].[Categoría]" caption="Categoría" numFmtId="0" level="1">
      <sharedItems count="8">
        <s v="Belleza"/>
        <s v="Comestibles"/>
        <s v="Deportes y aire libre"/>
        <s v="Electrónica"/>
        <s v="Hogar y cocina"/>
        <s v="Juguetes y juegos"/>
        <s v="Ropa"/>
        <s v="Suministros de oficina"/>
      </sharedItems>
    </cacheField>
    <cacheField name="[Fact_Inventario].[Unidades vendidas].[Unidades vendidas]" caption="Unidades vendidas" numFmtId="0" hierarchy="14" level="1">
      <sharedItems containsSemiMixedTypes="0" containsNonDate="0" containsString="0"/>
    </cacheField>
  </cacheFields>
  <cacheHierarchies count="35">
    <cacheHierarchy uniqueName="[Dim_Categoria].[Categoría]" caption="Categoría" attribute="1" defaultMemberUniqueName="[Dim_Categoria].[Categoría].[All]" allUniqueName="[Dim_Categoria].[Categoría].[All]" dimensionUniqueName="[Dim_Categoria]" displayFolder="" count="2" memberValueDatatype="130" unbalanced="0">
      <fieldsUsage count="2">
        <fieldUsage x="-1"/>
        <fieldUsage x="1"/>
      </fieldsUsage>
    </cacheHierarchy>
    <cacheHierarchy uniqueName="[Dim_Categoria].[ID_Categoria]" caption="ID_Categoria" attribute="1" defaultMemberUniqueName="[Dim_Categoria].[ID_Categoria].[All]" allUniqueName="[Dim_Categoria].[ID_Categoria].[All]" dimensionUniqueName="[Dim_Categoria]" displayFolder="" count="2" memberValueDatatype="130" unbalanced="0"/>
    <cacheHierarchy uniqueName="[Dim_Proveedor].[ID_Proveedor]" caption="ID_Proveedor" attribute="1" defaultMemberUniqueName="[Dim_Proveedor].[ID_Proveedor].[All]" allUniqueName="[Dim_Proveedor].[ID_Proveedor].[All]" dimensionUniqueName="[Dim_Proveedor]" displayFolder="" count="2" memberValueDatatype="20" unbalanced="0"/>
    <cacheHierarchy uniqueName="[Dim_Proveedor].[Nombre del proveedor]" caption="Nombre del proveedor" attribute="1" defaultMemberUniqueName="[Dim_Proveedor].[Nombre del proveedor].[All]" allUniqueName="[Dim_Proveedor].[Nombre del proveedor].[All]" dimensionUniqueName="[Dim_Proveedor]" displayFolder="" count="2" memberValueDatatype="130" unbalanced="0"/>
    <cacheHierarchy uniqueName="[Fact_Inventario].[Costo unitario]" caption="Costo unitario" attribute="1" defaultMemberUniqueName="[Fact_Inventario].[Costo unitario].[All]" allUniqueName="[Fact_Inventario].[Costo unitario].[All]" dimensionUniqueName="[Fact_Inventario]" displayFolder="" count="2" memberValueDatatype="5" unbalanced="0"/>
    <cacheHierarchy uniqueName="[Fact_Inventario].[Estado del stock]" caption="Estado del stock" attribute="1" defaultMemberUniqueName="[Fact_Inventario].[Estado del stock].[All]" allUniqueName="[Fact_Inventario].[Estado del stock].[All]" dimensionUniqueName="[Fact_Inventario]" displayFolder="" count="2" memberValueDatatype="130" unbalanced="0"/>
    <cacheHierarchy uniqueName="[Fact_Inventario].[ID del producto]" caption="ID del producto" attribute="1" defaultMemberUniqueName="[Fact_Inventario].[ID del producto].[All]" allUniqueName="[Fact_Inventario].[ID del producto].[All]" dimensionUniqueName="[Fact_Inventario]" displayFolder="" count="2" memberValueDatatype="130" unbalanced="0"/>
    <cacheHierarchy uniqueName="[Fact_Inventario].[ID_Categoria]" caption="ID_Categoria" attribute="1" defaultMemberUniqueName="[Fact_Inventario].[ID_Categoria].[All]" allUniqueName="[Fact_Inventario].[ID_Categoria].[All]" dimensionUniqueName="[Fact_Inventario]" displayFolder="" count="2" memberValueDatatype="130" unbalanced="0"/>
    <cacheHierarchy uniqueName="[Fact_Inventario].[ID_Proveedor]" caption="ID_Proveedor" attribute="1" defaultMemberUniqueName="[Fact_Inventario].[ID_Proveedor].[All]" allUniqueName="[Fact_Inventario].[ID_Proveedor].[All]" dimensionUniqueName="[Fact_Inventario]" displayFolder="" count="2" memberValueDatatype="20" unbalanced="0"/>
    <cacheHierarchy uniqueName="[Fact_Inventario].[Nombre del producto]" caption="Nombre del producto" attribute="1" defaultMemberUniqueName="[Fact_Inventario].[Nombre del producto].[All]" allUniqueName="[Fact_Inventario].[Nombre del producto].[All]" dimensionUniqueName="[Fact_Inventario]" displayFolder="" count="2" memberValueDatatype="130" unbalanced="0"/>
    <cacheHierarchy uniqueName="[Fact_Inventario].[Precio minorista]" caption="Precio minorista" attribute="1" defaultMemberUniqueName="[Fact_Inventario].[Precio minorista].[All]" allUniqueName="[Fact_Inventario].[Precio minorista].[All]" dimensionUniqueName="[Fact_Inventario]" displayFolder="" count="2" memberValueDatatype="5" unbalanced="0"/>
    <cacheHierarchy uniqueName="[Fact_Inventario].[Punto de reposición]" caption="Punto de reposición" attribute="1" defaultMemberUniqueName="[Fact_Inventario].[Punto de reposición].[All]" allUniqueName="[Fact_Inventario].[Punto de reposición].[All]" dimensionUniqueName="[Fact_Inventario]" displayFolder="" count="2" memberValueDatatype="20" unbalanced="0"/>
    <cacheHierarchy uniqueName="[Fact_Inventario].[Stock final]" caption="Stock final" attribute="1" defaultMemberUniqueName="[Fact_Inventario].[Stock final].[All]" allUniqueName="[Fact_Inventario].[Stock final].[All]" dimensionUniqueName="[Fact_Inventario]" displayFolder="" count="2" memberValueDatatype="20" unbalanced="0"/>
    <cacheHierarchy uniqueName="[Fact_Inventario].[Stock inicial]" caption="Stock inicial" attribute="1" defaultMemberUniqueName="[Fact_Inventario].[Stock inicial].[All]" allUniqueName="[Fact_Inventario].[Stock inicial].[All]" dimensionUniqueName="[Fact_Inventario]" displayFolder="" count="2" memberValueDatatype="20" unbalanced="0"/>
    <cacheHierarchy uniqueName="[Fact_Inventario].[Unidades vendidas]" caption="Unidades vendidas" attribute="1" defaultMemberUniqueName="[Fact_Inventario].[Unidades vendidas].[All]" allUniqueName="[Fact_Inventario].[Unidades vendidas].[All]" dimensionUniqueName="[Fact_Inventario]" displayFolder="" count="2" memberValueDatatype="20" unbalanced="0">
      <fieldsUsage count="2">
        <fieldUsage x="-1"/>
        <fieldUsage x="2"/>
      </fieldsUsage>
    </cacheHierarchy>
    <cacheHierarchy uniqueName="[01 Retail Inventory  1].[Categoría]" caption="Categoría" attribute="1" defaultMemberUniqueName="[01 Retail Inventory  1].[Categoría].[All]" allUniqueName="[01 Retail Inventory  1].[Categoría].[All]" dimensionUniqueName="[01 Retail Inventory  1]" displayFolder="" count="2" memberValueDatatype="130" unbalanced="0" hidden="1"/>
    <cacheHierarchy uniqueName="[01 Retail Inventory  1].[Costo unitario]" caption="Costo unitario" attribute="1" defaultMemberUniqueName="[01 Retail Inventory  1].[Costo unitario].[All]" allUniqueName="[01 Retail Inventory  1].[Costo unitario].[All]" dimensionUniqueName="[01 Retail Inventory  1]" displayFolder="" count="2" memberValueDatatype="5" unbalanced="0" hidden="1"/>
    <cacheHierarchy uniqueName="[01 Retail Inventory  1].[Estado del stock]" caption="Estado del stock" attribute="1" defaultMemberUniqueName="[01 Retail Inventory  1].[Estado del stock].[All]" allUniqueName="[01 Retail Inventory  1].[Estado del stock].[All]" dimensionUniqueName="[01 Retail Inventory  1]" displayFolder="" count="2" memberValueDatatype="130" unbalanced="0" hidden="1"/>
    <cacheHierarchy uniqueName="[01 Retail Inventory  1].[ID del producto]" caption="ID del producto" attribute="1" defaultMemberUniqueName="[01 Retail Inventory  1].[ID del producto].[All]" allUniqueName="[01 Retail Inventory  1].[ID del producto].[All]" dimensionUniqueName="[01 Retail Inventory  1]" displayFolder="" count="2" memberValueDatatype="130" unbalanced="0" hidden="1"/>
    <cacheHierarchy uniqueName="[01 Retail Inventory  1].[Nombre del producto]" caption="Nombre del producto" attribute="1" defaultMemberUniqueName="[01 Retail Inventory  1].[Nombre del producto].[All]" allUniqueName="[01 Retail Inventory  1].[Nombre del producto].[All]" dimensionUniqueName="[01 Retail Inventory  1]" displayFolder="" count="2" memberValueDatatype="130" unbalanced="0" hidden="1"/>
    <cacheHierarchy uniqueName="[01 Retail Inventory  1].[Nombre del proveedor]" caption="Nombre del proveedor" attribute="1" defaultMemberUniqueName="[01 Retail Inventory  1].[Nombre del proveedor].[All]" allUniqueName="[01 Retail Inventory  1].[Nombre del proveedor].[All]" dimensionUniqueName="[01 Retail Inventory  1]" displayFolder="" count="2" memberValueDatatype="130" unbalanced="0" hidden="1"/>
    <cacheHierarchy uniqueName="[01 Retail Inventory  1].[Precio minorista]" caption="Precio minorista" attribute="1" defaultMemberUniqueName="[01 Retail Inventory  1].[Precio minorista].[All]" allUniqueName="[01 Retail Inventory  1].[Precio minorista].[All]" dimensionUniqueName="[01 Retail Inventory  1]" displayFolder="" count="2" memberValueDatatype="5" unbalanced="0" hidden="1"/>
    <cacheHierarchy uniqueName="[01 Retail Inventory  1].[Punto de reposición]" caption="Punto de reposición" attribute="1" defaultMemberUniqueName="[01 Retail Inventory  1].[Punto de reposición].[All]" allUniqueName="[01 Retail Inventory  1].[Punto de reposición].[All]" dimensionUniqueName="[01 Retail Inventory  1]" displayFolder="" count="2" memberValueDatatype="20" unbalanced="0" hidden="1"/>
    <cacheHierarchy uniqueName="[01 Retail Inventory  1].[Stock final]" caption="Stock final" attribute="1" defaultMemberUniqueName="[01 Retail Inventory  1].[Stock final].[All]" allUniqueName="[01 Retail Inventory  1].[Stock final].[All]" dimensionUniqueName="[01 Retail Inventory  1]" displayFolder="" count="2" memberValueDatatype="20" unbalanced="0" hidden="1"/>
    <cacheHierarchy uniqueName="[01 Retail Inventory  1].[Stock inicial]" caption="Stock inicial" attribute="1" defaultMemberUniqueName="[01 Retail Inventory  1].[Stock inicial].[All]" allUniqueName="[01 Retail Inventory  1].[Stock inicial].[All]" dimensionUniqueName="[01 Retail Inventory  1]" displayFolder="" count="2" memberValueDatatype="20" unbalanced="0" hidden="1"/>
    <cacheHierarchy uniqueName="[01 Retail Inventory  1].[Unidades vendidas]" caption="Unidades vendidas" attribute="1" defaultMemberUniqueName="[01 Retail Inventory  1].[Unidades vendidas].[All]" allUniqueName="[01 Retail Inventory  1].[Unidades vendidas].[All]" dimensionUniqueName="[01 Retail Inventory  1]" displayFolder="" count="2" memberValueDatatype="20" unbalanced="0" hidden="1"/>
    <cacheHierarchy uniqueName="[Measures].[Total Ventas]" caption="Total Ventas" measure="1" displayFolder="" measureGroup="Fact_Inventario" count="0"/>
    <cacheHierarchy uniqueName="[Measures].[Margen Neto]" caption="Margen Neto" measure="1" displayFolder="" measureGroup="Fact_Inventario" count="0"/>
    <cacheHierarchy uniqueName="[Measures].[% Margen Ganancia]" caption="% Margen Ganancia" measure="1" displayFolder="" measureGroup="Fact_Inventario" count="0"/>
    <cacheHierarchy uniqueName="[Measures].[__XL_Count 01 Retail Inventory  1]" caption="__XL_Count 01 Retail Inventory  1" measure="1" displayFolder="" measureGroup="01 Retail Inventory  1" count="0" hidden="1"/>
    <cacheHierarchy uniqueName="[Measures].[__XL_Count Dim_Categoria]" caption="__XL_Count Dim_Categoria" measure="1" displayFolder="" measureGroup="Dim_Categoria" count="0" hidden="1"/>
    <cacheHierarchy uniqueName="[Measures].[__XL_Count Dim_Proveedor]" caption="__XL_Count Dim_Proveedor" measure="1" displayFolder="" measureGroup="Dim_Proveedor" count="0" hidden="1"/>
    <cacheHierarchy uniqueName="[Measures].[__XL_Count Fact_Inventario]" caption="__XL_Count Fact_Inventario" measure="1" displayFolder="" measureGroup="Fact_Inventario" count="0" hidden="1"/>
    <cacheHierarchy uniqueName="[Measures].[__No measures defined]" caption="__No measures defined" measure="1" displayFolder="" count="0" hidden="1"/>
    <cacheHierarchy uniqueName="[Measures].[Suma de Unidades vendidas]" caption="Suma de Unidades vendidas" measure="1" displayFolder="" measureGroup="Fact_Inventari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4">
    <dimension name="Dim_Categoria" uniqueName="[Dim_Categoria]" caption="Dim_Categoria"/>
    <dimension name="Dim_Proveedor" uniqueName="[Dim_Proveedor]" caption="Dim_Proveedor"/>
    <dimension name="Fact_Inventario" uniqueName="[Fact_Inventario]" caption="Fact_Inventario"/>
    <dimension measure="1" name="Measures" uniqueName="[Measures]" caption="Measures"/>
  </dimensions>
  <measureGroups count="4">
    <measureGroup name="01 Retail Inventory  1" caption="01 Retail Inventory  1"/>
    <measureGroup name="Dim_Categoria" caption="Dim_Categoria"/>
    <measureGroup name="Dim_Proveedor" caption="Dim_Proveedor"/>
    <measureGroup name="Fact_Inventario" caption="Fact_Inventario"/>
  </measureGroups>
  <maps count="5">
    <map measureGroup="1" dimension="0"/>
    <map measureGroup="2" dimension="1"/>
    <map measureGroup="3" dimension="0"/>
    <map measureGroup="3" dimension="1"/>
    <map measureGroup="3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erman Agustin Solis" refreshedDate="46288.417326041665" backgroundQuery="1" createdVersion="3" refreshedVersion="8" minRefreshableVersion="3" recordCount="0" supportSubquery="1" supportAdvancedDrill="1" xr:uid="{9D8081F3-8156-408A-B4B2-FDE1D161172F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5">
    <cacheHierarchy uniqueName="[Dim_Categoria].[Categoría]" caption="Categoría" attribute="1" defaultMemberUniqueName="[Dim_Categoria].[Categoría].[All]" allUniqueName="[Dim_Categoria].[Categoría].[All]" dimensionUniqueName="[Dim_Categoria]" displayFolder="" count="2" memberValueDatatype="130" unbalanced="0"/>
    <cacheHierarchy uniqueName="[Dim_Categoria].[ID_Categoria]" caption="ID_Categoria" attribute="1" defaultMemberUniqueName="[Dim_Categoria].[ID_Categoria].[All]" allUniqueName="[Dim_Categoria].[ID_Categoria].[All]" dimensionUniqueName="[Dim_Categoria]" displayFolder="" count="0" memberValueDatatype="130" unbalanced="0"/>
    <cacheHierarchy uniqueName="[Dim_Proveedor].[ID_Proveedor]" caption="ID_Proveedor" attribute="1" defaultMemberUniqueName="[Dim_Proveedor].[ID_Proveedor].[All]" allUniqueName="[Dim_Proveedor].[ID_Proveedor].[All]" dimensionUniqueName="[Dim_Proveedor]" displayFolder="" count="0" memberValueDatatype="20" unbalanced="0"/>
    <cacheHierarchy uniqueName="[Dim_Proveedor].[Nombre del proveedor]" caption="Nombre del proveedor" attribute="1" defaultMemberUniqueName="[Dim_Proveedor].[Nombre del proveedor].[All]" allUniqueName="[Dim_Proveedor].[Nombre del proveedor].[All]" dimensionUniqueName="[Dim_Proveedor]" displayFolder="" count="0" memberValueDatatype="130" unbalanced="0"/>
    <cacheHierarchy uniqueName="[Fact_Inventario].[Costo unitario]" caption="Costo unitario" attribute="1" defaultMemberUniqueName="[Fact_Inventario].[Costo unitario].[All]" allUniqueName="[Fact_Inventario].[Costo unitario].[All]" dimensionUniqueName="[Fact_Inventario]" displayFolder="" count="0" memberValueDatatype="5" unbalanced="0"/>
    <cacheHierarchy uniqueName="[Fact_Inventario].[Estado del stock]" caption="Estado del stock" attribute="1" defaultMemberUniqueName="[Fact_Inventario].[Estado del stock].[All]" allUniqueName="[Fact_Inventario].[Estado del stock].[All]" dimensionUniqueName="[Fact_Inventario]" displayFolder="" count="0" memberValueDatatype="130" unbalanced="0"/>
    <cacheHierarchy uniqueName="[Fact_Inventario].[ID del producto]" caption="ID del producto" attribute="1" defaultMemberUniqueName="[Fact_Inventario].[ID del producto].[All]" allUniqueName="[Fact_Inventario].[ID del producto].[All]" dimensionUniqueName="[Fact_Inventario]" displayFolder="" count="0" memberValueDatatype="130" unbalanced="0"/>
    <cacheHierarchy uniqueName="[Fact_Inventario].[ID_Categoria]" caption="ID_Categoria" attribute="1" defaultMemberUniqueName="[Fact_Inventario].[ID_Categoria].[All]" allUniqueName="[Fact_Inventario].[ID_Categoria].[All]" dimensionUniqueName="[Fact_Inventario]" displayFolder="" count="0" memberValueDatatype="130" unbalanced="0"/>
    <cacheHierarchy uniqueName="[Fact_Inventario].[ID_Proveedor]" caption="ID_Proveedor" attribute="1" defaultMemberUniqueName="[Fact_Inventario].[ID_Proveedor].[All]" allUniqueName="[Fact_Inventario].[ID_Proveedor].[All]" dimensionUniqueName="[Fact_Inventario]" displayFolder="" count="2" memberValueDatatype="20" unbalanced="0"/>
    <cacheHierarchy uniqueName="[Fact_Inventario].[Nombre del producto]" caption="Nombre del producto" attribute="1" defaultMemberUniqueName="[Fact_Inventario].[Nombre del producto].[All]" allUniqueName="[Fact_Inventario].[Nombre del producto].[All]" dimensionUniqueName="[Fact_Inventario]" displayFolder="" count="0" memberValueDatatype="130" unbalanced="0"/>
    <cacheHierarchy uniqueName="[Fact_Inventario].[Precio minorista]" caption="Precio minorista" attribute="1" defaultMemberUniqueName="[Fact_Inventario].[Precio minorista].[All]" allUniqueName="[Fact_Inventario].[Precio minorista].[All]" dimensionUniqueName="[Fact_Inventario]" displayFolder="" count="0" memberValueDatatype="5" unbalanced="0"/>
    <cacheHierarchy uniqueName="[Fact_Inventario].[Punto de reposición]" caption="Punto de reposición" attribute="1" defaultMemberUniqueName="[Fact_Inventario].[Punto de reposición].[All]" allUniqueName="[Fact_Inventario].[Punto de reposición].[All]" dimensionUniqueName="[Fact_Inventario]" displayFolder="" count="0" memberValueDatatype="20" unbalanced="0"/>
    <cacheHierarchy uniqueName="[Fact_Inventario].[Stock final]" caption="Stock final" attribute="1" defaultMemberUniqueName="[Fact_Inventario].[Stock final].[All]" allUniqueName="[Fact_Inventario].[Stock final].[All]" dimensionUniqueName="[Fact_Inventario]" displayFolder="" count="0" memberValueDatatype="20" unbalanced="0"/>
    <cacheHierarchy uniqueName="[Fact_Inventario].[Stock inicial]" caption="Stock inicial" attribute="1" defaultMemberUniqueName="[Fact_Inventario].[Stock inicial].[All]" allUniqueName="[Fact_Inventario].[Stock inicial].[All]" dimensionUniqueName="[Fact_Inventario]" displayFolder="" count="0" memberValueDatatype="20" unbalanced="0"/>
    <cacheHierarchy uniqueName="[Fact_Inventario].[Unidades vendidas]" caption="Unidades vendidas" attribute="1" defaultMemberUniqueName="[Fact_Inventario].[Unidades vendidas].[All]" allUniqueName="[Fact_Inventario].[Unidades vendidas].[All]" dimensionUniqueName="[Fact_Inventario]" displayFolder="" count="2" memberValueDatatype="20" unbalanced="0"/>
    <cacheHierarchy uniqueName="[01 Retail Inventory  1].[Categoría]" caption="Categoría" attribute="1" defaultMemberUniqueName="[01 Retail Inventory  1].[Categoría].[All]" allUniqueName="[01 Retail Inventory  1].[Categoría].[All]" dimensionUniqueName="[01 Retail Inventory  1]" displayFolder="" count="0" memberValueDatatype="130" unbalanced="0" hidden="1"/>
    <cacheHierarchy uniqueName="[01 Retail Inventory  1].[Costo unitario]" caption="Costo unitario" attribute="1" defaultMemberUniqueName="[01 Retail Inventory  1].[Costo unitario].[All]" allUniqueName="[01 Retail Inventory  1].[Costo unitario].[All]" dimensionUniqueName="[01 Retail Inventory  1]" displayFolder="" count="0" memberValueDatatype="5" unbalanced="0" hidden="1"/>
    <cacheHierarchy uniqueName="[01 Retail Inventory  1].[Estado del stock]" caption="Estado del stock" attribute="1" defaultMemberUniqueName="[01 Retail Inventory  1].[Estado del stock].[All]" allUniqueName="[01 Retail Inventory  1].[Estado del stock].[All]" dimensionUniqueName="[01 Retail Inventory  1]" displayFolder="" count="0" memberValueDatatype="130" unbalanced="0" hidden="1"/>
    <cacheHierarchy uniqueName="[01 Retail Inventory  1].[ID del producto]" caption="ID del producto" attribute="1" defaultMemberUniqueName="[01 Retail Inventory  1].[ID del producto].[All]" allUniqueName="[01 Retail Inventory  1].[ID del producto].[All]" dimensionUniqueName="[01 Retail Inventory  1]" displayFolder="" count="0" memberValueDatatype="130" unbalanced="0" hidden="1"/>
    <cacheHierarchy uniqueName="[01 Retail Inventory  1].[Nombre del producto]" caption="Nombre del producto" attribute="1" defaultMemberUniqueName="[01 Retail Inventory  1].[Nombre del producto].[All]" allUniqueName="[01 Retail Inventory  1].[Nombre del producto].[All]" dimensionUniqueName="[01 Retail Inventory  1]" displayFolder="" count="0" memberValueDatatype="130" unbalanced="0" hidden="1"/>
    <cacheHierarchy uniqueName="[01 Retail Inventory  1].[Nombre del proveedor]" caption="Nombre del proveedor" attribute="1" defaultMemberUniqueName="[01 Retail Inventory  1].[Nombre del proveedor].[All]" allUniqueName="[01 Retail Inventory  1].[Nombre del proveedor].[All]" dimensionUniqueName="[01 Retail Inventory  1]" displayFolder="" count="0" memberValueDatatype="130" unbalanced="0" hidden="1"/>
    <cacheHierarchy uniqueName="[01 Retail Inventory  1].[Precio minorista]" caption="Precio minorista" attribute="1" defaultMemberUniqueName="[01 Retail Inventory  1].[Precio minorista].[All]" allUniqueName="[01 Retail Inventory  1].[Precio minorista].[All]" dimensionUniqueName="[01 Retail Inventory  1]" displayFolder="" count="0" memberValueDatatype="5" unbalanced="0" hidden="1"/>
    <cacheHierarchy uniqueName="[01 Retail Inventory  1].[Punto de reposición]" caption="Punto de reposición" attribute="1" defaultMemberUniqueName="[01 Retail Inventory  1].[Punto de reposición].[All]" allUniqueName="[01 Retail Inventory  1].[Punto de reposición].[All]" dimensionUniqueName="[01 Retail Inventory  1]" displayFolder="" count="0" memberValueDatatype="20" unbalanced="0" hidden="1"/>
    <cacheHierarchy uniqueName="[01 Retail Inventory  1].[Stock final]" caption="Stock final" attribute="1" defaultMemberUniqueName="[01 Retail Inventory  1].[Stock final].[All]" allUniqueName="[01 Retail Inventory  1].[Stock final].[All]" dimensionUniqueName="[01 Retail Inventory  1]" displayFolder="" count="0" memberValueDatatype="20" unbalanced="0" hidden="1"/>
    <cacheHierarchy uniqueName="[01 Retail Inventory  1].[Stock inicial]" caption="Stock inicial" attribute="1" defaultMemberUniqueName="[01 Retail Inventory  1].[Stock inicial].[All]" allUniqueName="[01 Retail Inventory  1].[Stock inicial].[All]" dimensionUniqueName="[01 Retail Inventory  1]" displayFolder="" count="0" memberValueDatatype="20" unbalanced="0" hidden="1"/>
    <cacheHierarchy uniqueName="[01 Retail Inventory  1].[Unidades vendidas]" caption="Unidades vendidas" attribute="1" defaultMemberUniqueName="[01 Retail Inventory  1].[Unidades vendidas].[All]" allUniqueName="[01 Retail Inventory  1].[Unidades vendidas].[All]" dimensionUniqueName="[01 Retail Inventory  1]" displayFolder="" count="0" memberValueDatatype="20" unbalanced="0" hidden="1"/>
    <cacheHierarchy uniqueName="[Measures].[Total Ventas]" caption="Total Ventas" measure="1" displayFolder="" measureGroup="Fact_Inventario" count="0"/>
    <cacheHierarchy uniqueName="[Measures].[Margen Neto]" caption="Margen Neto" measure="1" displayFolder="" measureGroup="Fact_Inventario" count="0"/>
    <cacheHierarchy uniqueName="[Measures].[% Margen Ganancia]" caption="% Margen Ganancia" measure="1" displayFolder="" measureGroup="Fact_Inventario" count="0"/>
    <cacheHierarchy uniqueName="[Measures].[__XL_Count 01 Retail Inventory  1]" caption="__XL_Count 01 Retail Inventory  1" measure="1" displayFolder="" measureGroup="01 Retail Inventory  1" count="0" hidden="1"/>
    <cacheHierarchy uniqueName="[Measures].[__XL_Count Dim_Categoria]" caption="__XL_Count Dim_Categoria" measure="1" displayFolder="" measureGroup="Dim_Categoria" count="0" hidden="1"/>
    <cacheHierarchy uniqueName="[Measures].[__XL_Count Dim_Proveedor]" caption="__XL_Count Dim_Proveedor" measure="1" displayFolder="" measureGroup="Dim_Proveedor" count="0" hidden="1"/>
    <cacheHierarchy uniqueName="[Measures].[__XL_Count Fact_Inventario]" caption="__XL_Count Fact_Inventario" measure="1" displayFolder="" measureGroup="Fact_Inventario" count="0" hidden="1"/>
    <cacheHierarchy uniqueName="[Measures].[__No measures defined]" caption="__No measures defined" measure="1" displayFolder="" count="0" hidden="1"/>
    <cacheHierarchy uniqueName="[Measures].[Suma de Unidades vendidas]" caption="Suma de Unidades vendidas" measure="1" displayFolder="" measureGroup="Fact_Inventari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976566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D0F272-7697-4312-B25A-FE527962FDC4}" name="TablaDinámica4" cacheId="129" applyNumberFormats="0" applyBorderFormats="0" applyFontFormats="0" applyPatternFormats="0" applyAlignmentFormats="0" applyWidthHeightFormats="1" dataCaption="Valores" tag="5c967078-4fc5-46f5-8f77-b9b873af0d70" updatedVersion="8" minRefreshableVersion="3" useAutoFormatting="1" itemPrintTitles="1" createdVersion="8" indent="0" outline="1" outlineData="1" multipleFieldFilters="0">
  <location ref="A1:C2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1" subtotal="count" baseField="0" baseItem="0"/>
    <dataField fld="2" subtotal="count" baseField="0" baseItem="0"/>
  </dataFields>
  <formats count="6">
    <format dxfId="518">
      <pivotArea type="all" dataOnly="0" outline="0" fieldPosition="0"/>
    </format>
    <format dxfId="517">
      <pivotArea outline="0" collapsedLevelsAreSubtotals="1" fieldPosition="0"/>
    </format>
    <format dxfId="5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5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Invent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2C675C-A475-4A39-9F99-2AB9B1B7E6F2}" name="TablaDinámica6" cacheId="147" applyNumberFormats="0" applyBorderFormats="0" applyFontFormats="0" applyPatternFormats="0" applyAlignmentFormats="0" applyWidthHeightFormats="1" dataCaption="Valores" tag="514b9273-3817-4694-bfcf-db59f90b7c33" updatedVersion="8" minRefreshableVersion="3" useAutoFormatting="1" itemPrintTitles="1" createdVersion="8" indent="0" outline="1" outlineData="1" multipleFieldFilters="0" chartFormat="10">
  <location ref="E6:F15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llDrilled="1" subtotalTop="0" showAll="0" dataSourceSort="1" defaultSubtotal="0" defaultAttributeDrillState="1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a de Unidades vendidas" fld="0" baseField="0" baseItem="0"/>
  </dataFields>
  <formats count="12">
    <format dxfId="530">
      <pivotArea type="all" dataOnly="0" outline="0" fieldPosition="0"/>
    </format>
    <format dxfId="529">
      <pivotArea outline="0" collapsedLevelsAreSubtotals="1" fieldPosition="0"/>
    </format>
    <format dxfId="528">
      <pivotArea field="1" type="button" dataOnly="0" labelOnly="1" outline="0" axis="axisRow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fieldPosition="0">
        <references count="1">
          <reference field="1" count="0"/>
        </references>
      </pivotArea>
    </format>
    <format dxfId="520">
      <pivotArea dataOnly="0" labelOnly="1" grandRow="1" outline="0" fieldPosition="0"/>
    </format>
    <format dxfId="519">
      <pivotArea dataOnly="0" labelOnly="1" outline="0" axis="axisValues" fieldPosition="0"/>
    </format>
  </format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5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Inventario]"/>
        <x15:activeTabTopLevelEntity name="[Dim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52335-28F0-4BCE-AAF6-4F0ED957954F}" name="TablaDinámica5" cacheId="135" applyNumberFormats="0" applyBorderFormats="0" applyFontFormats="0" applyPatternFormats="0" applyAlignmentFormats="0" applyWidthHeightFormats="1" dataCaption="Valores" tag="e34fbfd3-1e1b-44f4-868d-b3ee547bf1bb" updatedVersion="8" minRefreshableVersion="3" useAutoFormatting="1" itemPrintTitles="1" createdVersion="8" indent="0" outline="1" outlineData="1" multipleFieldFilters="0" chartFormat="9">
  <location ref="A6:C15" firstHeaderRow="0" firstDataRow="1" firstDataCol="1"/>
  <pivotFields count="3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12">
    <format dxfId="542">
      <pivotArea type="all" dataOnly="0" outline="0" fieldPosition="0"/>
    </format>
    <format dxfId="541">
      <pivotArea outline="0" collapsedLevelsAreSubtotals="1" fieldPosition="0"/>
    </format>
    <format dxfId="540">
      <pivotArea field="0" type="button" dataOnly="0" labelOnly="1" outline="0" axis="axisRow" fieldPosition="0"/>
    </format>
    <format dxfId="539">
      <pivotArea dataOnly="0" labelOnly="1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field="0" type="button" dataOnly="0" labelOnly="1" outline="0" axis="axisRow" fieldPosition="0"/>
    </format>
    <format dxfId="533">
      <pivotArea dataOnly="0" labelOnly="1" fieldPosition="0">
        <references count="1">
          <reference field="0" count="0"/>
        </references>
      </pivotArea>
    </format>
    <format dxfId="532">
      <pivotArea dataOnly="0" labelOnly="1" grandRow="1" outline="0" fieldPosition="0"/>
    </format>
    <format dxfId="5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5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tegoria]"/>
        <x15:activeTabTopLevelEntity name="[Fact_Invent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E904A0BD-27D6-446B-8172-ABBBEC9484B3}" autoFormatId="16" applyNumberFormats="0" applyBorderFormats="0" applyFontFormats="0" applyPatternFormats="0" applyAlignmentFormats="0" applyWidthHeightFormats="0">
  <queryTableRefresh nextId="12">
    <queryTableFields count="11">
      <queryTableField id="1" name="Fact_Inventario[Costo unitario]" tableColumnId="1"/>
      <queryTableField id="2" name="Fact_Inventario[Estado del stock]" tableColumnId="2"/>
      <queryTableField id="3" name="Fact_Inventario[ID del producto]" tableColumnId="3"/>
      <queryTableField id="4" name="Fact_Inventario[ID_Categoria]" tableColumnId="4"/>
      <queryTableField id="5" name="Fact_Inventario[ID_Proveedor]" tableColumnId="5"/>
      <queryTableField id="6" name="Fact_Inventario[Nombre del producto]" tableColumnId="6"/>
      <queryTableField id="7" name="Fact_Inventario[Precio minorista]" tableColumnId="7"/>
      <queryTableField id="8" name="Fact_Inventario[Punto de reposición]" tableColumnId="8"/>
      <queryTableField id="9" name="Fact_Inventario[Stock final]" tableColumnId="9"/>
      <queryTableField id="10" name="Fact_Inventario[Stock inicial]" tableColumnId="10"/>
      <queryTableField id="11" name="Fact_Inventario[Unidades vendidas]" tableColumnId="11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D_Proveedor" xr10:uid="{51CD2E37-27B0-4E2E-AC1C-46936AF2C510}" sourceName="[Fact_Inventario].[ID_Proveedor]">
  <pivotTables>
    <pivotTable tabId="7" name="TablaDinámica5"/>
    <pivotTable tabId="7" name="TablaDinámica4"/>
    <pivotTable tabId="7" name="TablaDinámica6"/>
  </pivotTables>
  <data>
    <olap pivotCacheId="99765667">
      <levels count="2">
        <level uniqueName="[Fact_Inventario].[ID_Proveedor].[(All)]" sourceCaption="(All)" count="0"/>
        <level uniqueName="[Fact_Inventario].[ID_Proveedor].[ID_Proveedor]" sourceCaption="ID_Proveedor" count="10">
          <ranges>
            <range startItem="0">
              <i n="[Fact_Inventario].[ID_Proveedor].&amp;[1]" c="1"/>
              <i n="[Fact_Inventario].[ID_Proveedor].&amp;[2]" c="2"/>
              <i n="[Fact_Inventario].[ID_Proveedor].&amp;[3]" c="3"/>
              <i n="[Fact_Inventario].[ID_Proveedor].&amp;[4]" c="4"/>
              <i n="[Fact_Inventario].[ID_Proveedor].&amp;[5]" c="5"/>
              <i n="[Fact_Inventario].[ID_Proveedor].&amp;[6]" c="6"/>
              <i n="[Fact_Inventario].[ID_Proveedor].&amp;[7]" c="7"/>
              <i n="[Fact_Inventario].[ID_Proveedor].&amp;[8]" c="8"/>
              <i n="[Fact_Inventario].[ID_Proveedor].&amp;[9]" c="9"/>
              <i n="[Fact_Inventario].[ID_Proveedor].&amp;[10]" c="10"/>
            </range>
          </ranges>
        </level>
      </levels>
      <selections count="1">
        <selection n="[Fact_Inventario].[ID_Proveedo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" xr10:uid="{106BB59A-81B1-4281-9E2E-FC90A7DF7927}" sourceName="[Dim_Categoria].[Categoría]">
  <pivotTables>
    <pivotTable tabId="7" name="TablaDinámica5"/>
    <pivotTable tabId="7" name="TablaDinámica4"/>
    <pivotTable tabId="7" name="TablaDinámica6"/>
  </pivotTables>
  <data>
    <olap pivotCacheId="99765667">
      <levels count="2">
        <level uniqueName="[Dim_Categoria].[Categoría].[(All)]" sourceCaption="(All)" count="0"/>
        <level uniqueName="[Dim_Categoria].[Categoría].[Categoría]" sourceCaption="Categoría" count="8">
          <ranges>
            <range startItem="0">
              <i n="[Dim_Categoria].[Categoría].&amp;[Belleza]" c="Belleza"/>
              <i n="[Dim_Categoria].[Categoría].&amp;[Comestibles]" c="Comestibles"/>
              <i n="[Dim_Categoria].[Categoría].&amp;[Deportes y aire libre]" c="Deportes y aire libre"/>
              <i n="[Dim_Categoria].[Categoría].&amp;[Electrónica]" c="Electrónica"/>
              <i n="[Dim_Categoria].[Categoría].&amp;[Hogar y cocina]" c="Hogar y cocina"/>
              <i n="[Dim_Categoria].[Categoría].&amp;[Juguetes y juegos]" c="Juguetes y juegos"/>
              <i n="[Dim_Categoria].[Categoría].&amp;[Ropa]" c="Ropa"/>
              <i n="[Dim_Categoria].[Categoría].&amp;[Suministros de oficina]" c="Suministros de oficina"/>
            </range>
          </ranges>
        </level>
      </levels>
      <selections count="1">
        <selection n="[Dim_Categoria].[Categoría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es_vendidas" xr10:uid="{1981D806-DC4A-4C95-9A19-85A3D01192B5}" sourceName="[Fact_Inventario].[Unidades vendidas]">
  <pivotTables>
    <pivotTable tabId="7" name="TablaDinámica6"/>
  </pivotTables>
  <data>
    <olap pivotCacheId="99765667">
      <levels count="2">
        <level uniqueName="[Fact_Inventario].[Unidades vendidas].[(All)]" sourceCaption="(All)" count="0"/>
        <level uniqueName="[Fact_Inventario].[Unidades vendidas].[Unidades vendidas]" sourceCaption="Unidades vendidas" count="333">
          <ranges>
            <range startItem="0">
              <i n="[Fact_Inventario].[Unidades vendidas].&amp;[3]" c="3"/>
              <i n="[Fact_Inventario].[Unidades vendidas].&amp;[4]" c="4"/>
              <i n="[Fact_Inventario].[Unidades vendidas].&amp;[5]" c="5"/>
              <i n="[Fact_Inventario].[Unidades vendidas].&amp;[6]" c="6"/>
              <i n="[Fact_Inventario].[Unidades vendidas].&amp;[7]" c="7"/>
              <i n="[Fact_Inventario].[Unidades vendidas].&amp;[8]" c="8"/>
              <i n="[Fact_Inventario].[Unidades vendidas].&amp;[9]" c="9"/>
              <i n="[Fact_Inventario].[Unidades vendidas].&amp;[10]" c="10"/>
              <i n="[Fact_Inventario].[Unidades vendidas].&amp;[11]" c="11"/>
              <i n="[Fact_Inventario].[Unidades vendidas].&amp;[12]" c="12"/>
              <i n="[Fact_Inventario].[Unidades vendidas].&amp;[13]" c="13"/>
              <i n="[Fact_Inventario].[Unidades vendidas].&amp;[14]" c="14"/>
              <i n="[Fact_Inventario].[Unidades vendidas].&amp;[15]" c="15"/>
              <i n="[Fact_Inventario].[Unidades vendidas].&amp;[16]" c="16"/>
              <i n="[Fact_Inventario].[Unidades vendidas].&amp;[17]" c="17"/>
              <i n="[Fact_Inventario].[Unidades vendidas].&amp;[18]" c="18"/>
              <i n="[Fact_Inventario].[Unidades vendidas].&amp;[19]" c="19"/>
              <i n="[Fact_Inventario].[Unidades vendidas].&amp;[20]" c="20"/>
              <i n="[Fact_Inventario].[Unidades vendidas].&amp;[21]" c="21"/>
              <i n="[Fact_Inventario].[Unidades vendidas].&amp;[22]" c="22"/>
              <i n="[Fact_Inventario].[Unidades vendidas].&amp;[23]" c="23"/>
              <i n="[Fact_Inventario].[Unidades vendidas].&amp;[24]" c="24"/>
              <i n="[Fact_Inventario].[Unidades vendidas].&amp;[25]" c="25"/>
              <i n="[Fact_Inventario].[Unidades vendidas].&amp;[26]" c="26"/>
              <i n="[Fact_Inventario].[Unidades vendidas].&amp;[27]" c="27"/>
              <i n="[Fact_Inventario].[Unidades vendidas].&amp;[28]" c="28"/>
              <i n="[Fact_Inventario].[Unidades vendidas].&amp;[29]" c="29"/>
              <i n="[Fact_Inventario].[Unidades vendidas].&amp;[30]" c="30"/>
              <i n="[Fact_Inventario].[Unidades vendidas].&amp;[31]" c="31"/>
              <i n="[Fact_Inventario].[Unidades vendidas].&amp;[32]" c="32"/>
              <i n="[Fact_Inventario].[Unidades vendidas].&amp;[33]" c="33"/>
              <i n="[Fact_Inventario].[Unidades vendidas].&amp;[34]" c="34"/>
              <i n="[Fact_Inventario].[Unidades vendidas].&amp;[35]" c="35"/>
              <i n="[Fact_Inventario].[Unidades vendidas].&amp;[36]" c="36"/>
              <i n="[Fact_Inventario].[Unidades vendidas].&amp;[37]" c="37"/>
              <i n="[Fact_Inventario].[Unidades vendidas].&amp;[38]" c="38"/>
              <i n="[Fact_Inventario].[Unidades vendidas].&amp;[39]" c="39"/>
              <i n="[Fact_Inventario].[Unidades vendidas].&amp;[40]" c="40"/>
              <i n="[Fact_Inventario].[Unidades vendidas].&amp;[41]" c="41"/>
              <i n="[Fact_Inventario].[Unidades vendidas].&amp;[42]" c="42"/>
              <i n="[Fact_Inventario].[Unidades vendidas].&amp;[43]" c="43"/>
              <i n="[Fact_Inventario].[Unidades vendidas].&amp;[44]" c="44"/>
              <i n="[Fact_Inventario].[Unidades vendidas].&amp;[45]" c="45"/>
              <i n="[Fact_Inventario].[Unidades vendidas].&amp;[46]" c="46"/>
              <i n="[Fact_Inventario].[Unidades vendidas].&amp;[47]" c="47"/>
              <i n="[Fact_Inventario].[Unidades vendidas].&amp;[48]" c="48"/>
              <i n="[Fact_Inventario].[Unidades vendidas].&amp;[49]" c="49"/>
              <i n="[Fact_Inventario].[Unidades vendidas].&amp;[50]" c="50"/>
              <i n="[Fact_Inventario].[Unidades vendidas].&amp;[51]" c="51"/>
              <i n="[Fact_Inventario].[Unidades vendidas].&amp;[52]" c="52"/>
              <i n="[Fact_Inventario].[Unidades vendidas].&amp;[53]" c="53"/>
              <i n="[Fact_Inventario].[Unidades vendidas].&amp;[54]" c="54"/>
              <i n="[Fact_Inventario].[Unidades vendidas].&amp;[55]" c="55"/>
              <i n="[Fact_Inventario].[Unidades vendidas].&amp;[56]" c="56"/>
              <i n="[Fact_Inventario].[Unidades vendidas].&amp;[57]" c="57"/>
              <i n="[Fact_Inventario].[Unidades vendidas].&amp;[58]" c="58"/>
              <i n="[Fact_Inventario].[Unidades vendidas].&amp;[59]" c="59"/>
              <i n="[Fact_Inventario].[Unidades vendidas].&amp;[60]" c="60"/>
              <i n="[Fact_Inventario].[Unidades vendidas].&amp;[61]" c="61"/>
              <i n="[Fact_Inventario].[Unidades vendidas].&amp;[62]" c="62"/>
              <i n="[Fact_Inventario].[Unidades vendidas].&amp;[63]" c="63"/>
              <i n="[Fact_Inventario].[Unidades vendidas].&amp;[64]" c="64"/>
              <i n="[Fact_Inventario].[Unidades vendidas].&amp;[65]" c="65"/>
              <i n="[Fact_Inventario].[Unidades vendidas].&amp;[66]" c="66"/>
              <i n="[Fact_Inventario].[Unidades vendidas].&amp;[67]" c="67"/>
              <i n="[Fact_Inventario].[Unidades vendidas].&amp;[68]" c="68"/>
              <i n="[Fact_Inventario].[Unidades vendidas].&amp;[69]" c="69"/>
              <i n="[Fact_Inventario].[Unidades vendidas].&amp;[70]" c="70"/>
              <i n="[Fact_Inventario].[Unidades vendidas].&amp;[71]" c="71"/>
              <i n="[Fact_Inventario].[Unidades vendidas].&amp;[72]" c="72"/>
              <i n="[Fact_Inventario].[Unidades vendidas].&amp;[73]" c="73"/>
              <i n="[Fact_Inventario].[Unidades vendidas].&amp;[74]" c="74"/>
              <i n="[Fact_Inventario].[Unidades vendidas].&amp;[75]" c="75"/>
              <i n="[Fact_Inventario].[Unidades vendidas].&amp;[76]" c="76"/>
              <i n="[Fact_Inventario].[Unidades vendidas].&amp;[77]" c="77"/>
              <i n="[Fact_Inventario].[Unidades vendidas].&amp;[78]" c="78"/>
              <i n="[Fact_Inventario].[Unidades vendidas].&amp;[79]" c="79"/>
              <i n="[Fact_Inventario].[Unidades vendidas].&amp;[80]" c="80"/>
              <i n="[Fact_Inventario].[Unidades vendidas].&amp;[81]" c="81"/>
              <i n="[Fact_Inventario].[Unidades vendidas].&amp;[82]" c="82"/>
              <i n="[Fact_Inventario].[Unidades vendidas].&amp;[83]" c="83"/>
              <i n="[Fact_Inventario].[Unidades vendidas].&amp;[84]" c="84"/>
              <i n="[Fact_Inventario].[Unidades vendidas].&amp;[85]" c="85"/>
              <i n="[Fact_Inventario].[Unidades vendidas].&amp;[86]" c="86"/>
              <i n="[Fact_Inventario].[Unidades vendidas].&amp;[87]" c="87"/>
              <i n="[Fact_Inventario].[Unidades vendidas].&amp;[88]" c="88"/>
              <i n="[Fact_Inventario].[Unidades vendidas].&amp;[89]" c="89"/>
              <i n="[Fact_Inventario].[Unidades vendidas].&amp;[90]" c="90"/>
              <i n="[Fact_Inventario].[Unidades vendidas].&amp;[91]" c="91"/>
              <i n="[Fact_Inventario].[Unidades vendidas].&amp;[92]" c="92"/>
              <i n="[Fact_Inventario].[Unidades vendidas].&amp;[93]" c="93"/>
              <i n="[Fact_Inventario].[Unidades vendidas].&amp;[94]" c="94"/>
              <i n="[Fact_Inventario].[Unidades vendidas].&amp;[95]" c="95"/>
              <i n="[Fact_Inventario].[Unidades vendidas].&amp;[96]" c="96"/>
              <i n="[Fact_Inventario].[Unidades vendidas].&amp;[97]" c="97"/>
              <i n="[Fact_Inventario].[Unidades vendidas].&amp;[98]" c="98"/>
              <i n="[Fact_Inventario].[Unidades vendidas].&amp;[99]" c="99"/>
              <i n="[Fact_Inventario].[Unidades vendidas].&amp;[100]" c="100"/>
              <i n="[Fact_Inventario].[Unidades vendidas].&amp;[101]" c="101"/>
              <i n="[Fact_Inventario].[Unidades vendidas].&amp;[102]" c="102"/>
              <i n="[Fact_Inventario].[Unidades vendidas].&amp;[103]" c="103"/>
              <i n="[Fact_Inventario].[Unidades vendidas].&amp;[104]" c="104"/>
              <i n="[Fact_Inventario].[Unidades vendidas].&amp;[105]" c="105"/>
              <i n="[Fact_Inventario].[Unidades vendidas].&amp;[106]" c="106"/>
              <i n="[Fact_Inventario].[Unidades vendidas].&amp;[107]" c="107"/>
              <i n="[Fact_Inventario].[Unidades vendidas].&amp;[108]" c="108"/>
              <i n="[Fact_Inventario].[Unidades vendidas].&amp;[109]" c="109"/>
              <i n="[Fact_Inventario].[Unidades vendidas].&amp;[110]" c="110"/>
              <i n="[Fact_Inventario].[Unidades vendidas].&amp;[111]" c="111"/>
              <i n="[Fact_Inventario].[Unidades vendidas].&amp;[112]" c="112"/>
              <i n="[Fact_Inventario].[Unidades vendidas].&amp;[113]" c="113"/>
              <i n="[Fact_Inventario].[Unidades vendidas].&amp;[114]" c="114"/>
              <i n="[Fact_Inventario].[Unidades vendidas].&amp;[115]" c="115"/>
              <i n="[Fact_Inventario].[Unidades vendidas].&amp;[116]" c="116"/>
              <i n="[Fact_Inventario].[Unidades vendidas].&amp;[117]" c="117"/>
              <i n="[Fact_Inventario].[Unidades vendidas].&amp;[118]" c="118"/>
              <i n="[Fact_Inventario].[Unidades vendidas].&amp;[119]" c="119"/>
              <i n="[Fact_Inventario].[Unidades vendidas].&amp;[120]" c="120"/>
              <i n="[Fact_Inventario].[Unidades vendidas].&amp;[121]" c="121"/>
              <i n="[Fact_Inventario].[Unidades vendidas].&amp;[122]" c="122"/>
              <i n="[Fact_Inventario].[Unidades vendidas].&amp;[123]" c="123"/>
              <i n="[Fact_Inventario].[Unidades vendidas].&amp;[124]" c="124"/>
              <i n="[Fact_Inventario].[Unidades vendidas].&amp;[125]" c="125"/>
              <i n="[Fact_Inventario].[Unidades vendidas].&amp;[126]" c="126"/>
              <i n="[Fact_Inventario].[Unidades vendidas].&amp;[127]" c="127"/>
              <i n="[Fact_Inventario].[Unidades vendidas].&amp;[128]" c="128"/>
              <i n="[Fact_Inventario].[Unidades vendidas].&amp;[129]" c="129"/>
              <i n="[Fact_Inventario].[Unidades vendidas].&amp;[130]" c="130"/>
              <i n="[Fact_Inventario].[Unidades vendidas].&amp;[132]" c="132"/>
              <i n="[Fact_Inventario].[Unidades vendidas].&amp;[133]" c="133"/>
              <i n="[Fact_Inventario].[Unidades vendidas].&amp;[134]" c="134"/>
              <i n="[Fact_Inventario].[Unidades vendidas].&amp;[135]" c="135"/>
              <i n="[Fact_Inventario].[Unidades vendidas].&amp;[136]" c="136"/>
              <i n="[Fact_Inventario].[Unidades vendidas].&amp;[137]" c="137"/>
              <i n="[Fact_Inventario].[Unidades vendidas].&amp;[138]" c="138"/>
              <i n="[Fact_Inventario].[Unidades vendidas].&amp;[139]" c="139"/>
              <i n="[Fact_Inventario].[Unidades vendidas].&amp;[140]" c="140"/>
              <i n="[Fact_Inventario].[Unidades vendidas].&amp;[141]" c="141"/>
              <i n="[Fact_Inventario].[Unidades vendidas].&amp;[142]" c="142"/>
              <i n="[Fact_Inventario].[Unidades vendidas].&amp;[143]" c="143"/>
              <i n="[Fact_Inventario].[Unidades vendidas].&amp;[144]" c="144"/>
              <i n="[Fact_Inventario].[Unidades vendidas].&amp;[145]" c="145"/>
              <i n="[Fact_Inventario].[Unidades vendidas].&amp;[146]" c="146"/>
              <i n="[Fact_Inventario].[Unidades vendidas].&amp;[147]" c="147"/>
              <i n="[Fact_Inventario].[Unidades vendidas].&amp;[148]" c="148"/>
              <i n="[Fact_Inventario].[Unidades vendidas].&amp;[149]" c="149"/>
              <i n="[Fact_Inventario].[Unidades vendidas].&amp;[150]" c="150"/>
              <i n="[Fact_Inventario].[Unidades vendidas].&amp;[151]" c="151"/>
              <i n="[Fact_Inventario].[Unidades vendidas].&amp;[152]" c="152"/>
              <i n="[Fact_Inventario].[Unidades vendidas].&amp;[153]" c="153"/>
              <i n="[Fact_Inventario].[Unidades vendidas].&amp;[154]" c="154"/>
              <i n="[Fact_Inventario].[Unidades vendidas].&amp;[155]" c="155"/>
              <i n="[Fact_Inventario].[Unidades vendidas].&amp;[156]" c="156"/>
              <i n="[Fact_Inventario].[Unidades vendidas].&amp;[157]" c="157"/>
              <i n="[Fact_Inventario].[Unidades vendidas].&amp;[158]" c="158"/>
              <i n="[Fact_Inventario].[Unidades vendidas].&amp;[159]" c="159"/>
              <i n="[Fact_Inventario].[Unidades vendidas].&amp;[160]" c="160"/>
              <i n="[Fact_Inventario].[Unidades vendidas].&amp;[161]" c="161"/>
              <i n="[Fact_Inventario].[Unidades vendidas].&amp;[162]" c="162"/>
              <i n="[Fact_Inventario].[Unidades vendidas].&amp;[164]" c="164"/>
              <i n="[Fact_Inventario].[Unidades vendidas].&amp;[165]" c="165"/>
              <i n="[Fact_Inventario].[Unidades vendidas].&amp;[166]" c="166"/>
              <i n="[Fact_Inventario].[Unidades vendidas].&amp;[167]" c="167"/>
              <i n="[Fact_Inventario].[Unidades vendidas].&amp;[169]" c="169"/>
              <i n="[Fact_Inventario].[Unidades vendidas].&amp;[170]" c="170"/>
              <i n="[Fact_Inventario].[Unidades vendidas].&amp;[171]" c="171"/>
              <i n="[Fact_Inventario].[Unidades vendidas].&amp;[174]" c="174"/>
              <i n="[Fact_Inventario].[Unidades vendidas].&amp;[175]" c="175"/>
              <i n="[Fact_Inventario].[Unidades vendidas].&amp;[176]" c="176"/>
              <i n="[Fact_Inventario].[Unidades vendidas].&amp;[177]" c="177"/>
              <i n="[Fact_Inventario].[Unidades vendidas].&amp;[178]" c="178"/>
              <i n="[Fact_Inventario].[Unidades vendidas].&amp;[179]" c="179"/>
              <i n="[Fact_Inventario].[Unidades vendidas].&amp;[180]" c="180"/>
              <i n="[Fact_Inventario].[Unidades vendidas].&amp;[181]" c="181"/>
              <i n="[Fact_Inventario].[Unidades vendidas].&amp;[182]" c="182"/>
              <i n="[Fact_Inventario].[Unidades vendidas].&amp;[183]" c="183"/>
              <i n="[Fact_Inventario].[Unidades vendidas].&amp;[184]" c="184"/>
              <i n="[Fact_Inventario].[Unidades vendidas].&amp;[185]" c="185"/>
              <i n="[Fact_Inventario].[Unidades vendidas].&amp;[186]" c="186"/>
              <i n="[Fact_Inventario].[Unidades vendidas].&amp;[187]" c="187"/>
              <i n="[Fact_Inventario].[Unidades vendidas].&amp;[188]" c="188"/>
              <i n="[Fact_Inventario].[Unidades vendidas].&amp;[189]" c="189"/>
              <i n="[Fact_Inventario].[Unidades vendidas].&amp;[190]" c="190"/>
              <i n="[Fact_Inventario].[Unidades vendidas].&amp;[191]" c="191"/>
              <i n="[Fact_Inventario].[Unidades vendidas].&amp;[192]" c="192"/>
              <i n="[Fact_Inventario].[Unidades vendidas].&amp;[193]" c="193"/>
              <i n="[Fact_Inventario].[Unidades vendidas].&amp;[194]" c="194"/>
              <i n="[Fact_Inventario].[Unidades vendidas].&amp;[195]" c="195"/>
              <i n="[Fact_Inventario].[Unidades vendidas].&amp;[196]" c="196"/>
              <i n="[Fact_Inventario].[Unidades vendidas].&amp;[197]" c="197"/>
              <i n="[Fact_Inventario].[Unidades vendidas].&amp;[198]" c="198"/>
              <i n="[Fact_Inventario].[Unidades vendidas].&amp;[199]" c="199"/>
              <i n="[Fact_Inventario].[Unidades vendidas].&amp;[200]" c="200"/>
              <i n="[Fact_Inventario].[Unidades vendidas].&amp;[201]" c="201"/>
              <i n="[Fact_Inventario].[Unidades vendidas].&amp;[203]" c="203"/>
              <i n="[Fact_Inventario].[Unidades vendidas].&amp;[204]" c="204"/>
              <i n="[Fact_Inventario].[Unidades vendidas].&amp;[205]" c="205"/>
              <i n="[Fact_Inventario].[Unidades vendidas].&amp;[206]" c="206"/>
              <i n="[Fact_Inventario].[Unidades vendidas].&amp;[208]" c="208"/>
              <i n="[Fact_Inventario].[Unidades vendidas].&amp;[210]" c="210"/>
              <i n="[Fact_Inventario].[Unidades vendidas].&amp;[211]" c="211"/>
              <i n="[Fact_Inventario].[Unidades vendidas].&amp;[212]" c="212"/>
              <i n="[Fact_Inventario].[Unidades vendidas].&amp;[214]" c="214"/>
              <i n="[Fact_Inventario].[Unidades vendidas].&amp;[215]" c="215"/>
              <i n="[Fact_Inventario].[Unidades vendidas].&amp;[216]" c="216"/>
              <i n="[Fact_Inventario].[Unidades vendidas].&amp;[217]" c="217"/>
              <i n="[Fact_Inventario].[Unidades vendidas].&amp;[218]" c="218"/>
              <i n="[Fact_Inventario].[Unidades vendidas].&amp;[220]" c="220"/>
              <i n="[Fact_Inventario].[Unidades vendidas].&amp;[222]" c="222"/>
              <i n="[Fact_Inventario].[Unidades vendidas].&amp;[224]" c="224"/>
              <i n="[Fact_Inventario].[Unidades vendidas].&amp;[225]" c="225"/>
              <i n="[Fact_Inventario].[Unidades vendidas].&amp;[227]" c="227"/>
              <i n="[Fact_Inventario].[Unidades vendidas].&amp;[230]" c="230"/>
              <i n="[Fact_Inventario].[Unidades vendidas].&amp;[231]" c="231"/>
              <i n="[Fact_Inventario].[Unidades vendidas].&amp;[232]" c="232"/>
              <i n="[Fact_Inventario].[Unidades vendidas].&amp;[233]" c="233"/>
              <i n="[Fact_Inventario].[Unidades vendidas].&amp;[234]" c="234"/>
              <i n="[Fact_Inventario].[Unidades vendidas].&amp;[235]" c="235"/>
              <i n="[Fact_Inventario].[Unidades vendidas].&amp;[236]" c="236"/>
              <i n="[Fact_Inventario].[Unidades vendidas].&amp;[237]" c="237"/>
              <i n="[Fact_Inventario].[Unidades vendidas].&amp;[238]" c="238"/>
              <i n="[Fact_Inventario].[Unidades vendidas].&amp;[239]" c="239"/>
              <i n="[Fact_Inventario].[Unidades vendidas].&amp;[240]" c="240"/>
              <i n="[Fact_Inventario].[Unidades vendidas].&amp;[241]" c="241"/>
              <i n="[Fact_Inventario].[Unidades vendidas].&amp;[242]" c="242"/>
              <i n="[Fact_Inventario].[Unidades vendidas].&amp;[243]" c="243"/>
              <i n="[Fact_Inventario].[Unidades vendidas].&amp;[244]" c="244"/>
              <i n="[Fact_Inventario].[Unidades vendidas].&amp;[246]" c="246"/>
              <i n="[Fact_Inventario].[Unidades vendidas].&amp;[247]" c="247"/>
              <i n="[Fact_Inventario].[Unidades vendidas].&amp;[248]" c="248"/>
              <i n="[Fact_Inventario].[Unidades vendidas].&amp;[252]" c="252"/>
              <i n="[Fact_Inventario].[Unidades vendidas].&amp;[254]" c="254"/>
              <i n="[Fact_Inventario].[Unidades vendidas].&amp;[255]" c="255"/>
              <i n="[Fact_Inventario].[Unidades vendidas].&amp;[256]" c="256"/>
              <i n="[Fact_Inventario].[Unidades vendidas].&amp;[257]" c="257"/>
              <i n="[Fact_Inventario].[Unidades vendidas].&amp;[258]" c="258"/>
              <i n="[Fact_Inventario].[Unidades vendidas].&amp;[259]" c="259"/>
              <i n="[Fact_Inventario].[Unidades vendidas].&amp;[260]" c="260"/>
              <i n="[Fact_Inventario].[Unidades vendidas].&amp;[261]" c="261"/>
              <i n="[Fact_Inventario].[Unidades vendidas].&amp;[262]" c="262"/>
              <i n="[Fact_Inventario].[Unidades vendidas].&amp;[263]" c="263"/>
              <i n="[Fact_Inventario].[Unidades vendidas].&amp;[264]" c="264"/>
              <i n="[Fact_Inventario].[Unidades vendidas].&amp;[265]" c="265"/>
              <i n="[Fact_Inventario].[Unidades vendidas].&amp;[266]" c="266"/>
              <i n="[Fact_Inventario].[Unidades vendidas].&amp;[267]" c="267"/>
              <i n="[Fact_Inventario].[Unidades vendidas].&amp;[269]" c="269"/>
              <i n="[Fact_Inventario].[Unidades vendidas].&amp;[270]" c="270"/>
              <i n="[Fact_Inventario].[Unidades vendidas].&amp;[274]" c="274"/>
              <i n="[Fact_Inventario].[Unidades vendidas].&amp;[275]" c="275"/>
              <i n="[Fact_Inventario].[Unidades vendidas].&amp;[276]" c="276"/>
              <i n="[Fact_Inventario].[Unidades vendidas].&amp;[277]" c="277"/>
              <i n="[Fact_Inventario].[Unidades vendidas].&amp;[279]" c="279"/>
              <i n="[Fact_Inventario].[Unidades vendidas].&amp;[280]" c="280"/>
              <i n="[Fact_Inventario].[Unidades vendidas].&amp;[281]" c="281"/>
              <i n="[Fact_Inventario].[Unidades vendidas].&amp;[282]" c="282"/>
              <i n="[Fact_Inventario].[Unidades vendidas].&amp;[284]" c="284"/>
              <i n="[Fact_Inventario].[Unidades vendidas].&amp;[285]" c="285"/>
              <i n="[Fact_Inventario].[Unidades vendidas].&amp;[286]" c="286"/>
              <i n="[Fact_Inventario].[Unidades vendidas].&amp;[287]" c="287"/>
              <i n="[Fact_Inventario].[Unidades vendidas].&amp;[289]" c="289"/>
              <i n="[Fact_Inventario].[Unidades vendidas].&amp;[290]" c="290"/>
              <i n="[Fact_Inventario].[Unidades vendidas].&amp;[291]" c="291"/>
              <i n="[Fact_Inventario].[Unidades vendidas].&amp;[292]" c="292"/>
              <i n="[Fact_Inventario].[Unidades vendidas].&amp;[293]" c="293"/>
              <i n="[Fact_Inventario].[Unidades vendidas].&amp;[295]" c="295"/>
              <i n="[Fact_Inventario].[Unidades vendidas].&amp;[296]" c="296"/>
              <i n="[Fact_Inventario].[Unidades vendidas].&amp;[299]" c="299"/>
              <i n="[Fact_Inventario].[Unidades vendidas].&amp;[300]" c="300"/>
              <i n="[Fact_Inventario].[Unidades vendidas].&amp;[301]" c="301"/>
              <i n="[Fact_Inventario].[Unidades vendidas].&amp;[302]" c="302"/>
              <i n="[Fact_Inventario].[Unidades vendidas].&amp;[303]" c="303"/>
              <i n="[Fact_Inventario].[Unidades vendidas].&amp;[304]" c="304"/>
              <i n="[Fact_Inventario].[Unidades vendidas].&amp;[308]" c="308"/>
              <i n="[Fact_Inventario].[Unidades vendidas].&amp;[310]" c="310"/>
              <i n="[Fact_Inventario].[Unidades vendidas].&amp;[311]" c="311"/>
              <i n="[Fact_Inventario].[Unidades vendidas].&amp;[313]" c="313"/>
              <i n="[Fact_Inventario].[Unidades vendidas].&amp;[315]" c="315"/>
              <i n="[Fact_Inventario].[Unidades vendidas].&amp;[317]" c="317"/>
              <i n="[Fact_Inventario].[Unidades vendidas].&amp;[318]" c="318"/>
              <i n="[Fact_Inventario].[Unidades vendidas].&amp;[320]" c="320"/>
              <i n="[Fact_Inventario].[Unidades vendidas].&amp;[322]" c="322"/>
              <i n="[Fact_Inventario].[Unidades vendidas].&amp;[324]" c="324"/>
              <i n="[Fact_Inventario].[Unidades vendidas].&amp;[326]" c="326"/>
              <i n="[Fact_Inventario].[Unidades vendidas].&amp;[327]" c="327"/>
              <i n="[Fact_Inventario].[Unidades vendidas].&amp;[328]" c="328"/>
              <i n="[Fact_Inventario].[Unidades vendidas].&amp;[329]" c="329"/>
              <i n="[Fact_Inventario].[Unidades vendidas].&amp;[330]" c="330"/>
              <i n="[Fact_Inventario].[Unidades vendidas].&amp;[332]" c="332"/>
              <i n="[Fact_Inventario].[Unidades vendidas].&amp;[333]" c="333"/>
              <i n="[Fact_Inventario].[Unidades vendidas].&amp;[334]" c="334"/>
              <i n="[Fact_Inventario].[Unidades vendidas].&amp;[336]" c="336"/>
              <i n="[Fact_Inventario].[Unidades vendidas].&amp;[337]" c="337"/>
              <i n="[Fact_Inventario].[Unidades vendidas].&amp;[339]" c="339"/>
              <i n="[Fact_Inventario].[Unidades vendidas].&amp;[342]" c="342"/>
              <i n="[Fact_Inventario].[Unidades vendidas].&amp;[343]" c="343"/>
              <i n="[Fact_Inventario].[Unidades vendidas].&amp;[344]" c="344"/>
              <i n="[Fact_Inventario].[Unidades vendidas].&amp;[346]" c="346"/>
              <i n="[Fact_Inventario].[Unidades vendidas].&amp;[349]" c="349"/>
              <i n="[Fact_Inventario].[Unidades vendidas].&amp;[351]" c="351"/>
              <i n="[Fact_Inventario].[Unidades vendidas].&amp;[354]" c="354"/>
              <i n="[Fact_Inventario].[Unidades vendidas].&amp;[357]" c="357"/>
              <i n="[Fact_Inventario].[Unidades vendidas].&amp;[358]" c="358"/>
              <i n="[Fact_Inventario].[Unidades vendidas].&amp;[359]" c="359"/>
              <i n="[Fact_Inventario].[Unidades vendidas].&amp;[362]" c="362"/>
              <i n="[Fact_Inventario].[Unidades vendidas].&amp;[363]" c="363"/>
              <i n="[Fact_Inventario].[Unidades vendidas].&amp;[364]" c="364"/>
              <i n="[Fact_Inventario].[Unidades vendidas].&amp;[366]" c="366"/>
              <i n="[Fact_Inventario].[Unidades vendidas].&amp;[367]" c="367"/>
              <i n="[Fact_Inventario].[Unidades vendidas].&amp;[370]" c="370"/>
              <i n="[Fact_Inventario].[Unidades vendidas].&amp;[373]" c="373"/>
              <i n="[Fact_Inventario].[Unidades vendidas].&amp;[376]" c="376"/>
              <i n="[Fact_Inventario].[Unidades vendidas].&amp;[378]" c="378"/>
              <i n="[Fact_Inventario].[Unidades vendidas].&amp;[380]" c="380"/>
              <i n="[Fact_Inventario].[Unidades vendidas].&amp;[381]" c="381"/>
              <i n="[Fact_Inventario].[Unidades vendidas].&amp;[382]" c="382"/>
              <i n="[Fact_Inventario].[Unidades vendidas].&amp;[384]" c="384"/>
              <i n="[Fact_Inventario].[Unidades vendidas].&amp;[388]" c="388"/>
              <i n="[Fact_Inventario].[Unidades vendidas].&amp;[390]" c="390"/>
              <i n="[Fact_Inventario].[Unidades vendidas].&amp;[397]" c="397"/>
              <i n="[Fact_Inventario].[Unidades vendidas].&amp;[398]" c="398"/>
              <i n="[Fact_Inventario].[Unidades vendidas].&amp;[402]" c="402"/>
              <i n="[Fact_Inventario].[Unidades vendidas].&amp;[407]" c="407"/>
              <i n="[Fact_Inventario].[Unidades vendidas].&amp;[412]" c="412"/>
              <i n="[Fact_Inventario].[Unidades vendidas].&amp;[415]" c="415"/>
              <i n="[Fact_Inventario].[Unidades vendidas].&amp;[416]" c="416"/>
              <i n="[Fact_Inventario].[Unidades vendidas].&amp;[417]" c="417"/>
              <i n="[Fact_Inventario].[Unidades vendidas].&amp;[422]" c="422"/>
              <i n="[Fact_Inventario].[Unidades vendidas].&amp;[423]" c="423"/>
              <i n="[Fact_Inventario].[Unidades vendidas].&amp;[428]" c="428"/>
              <i n="[Fact_Inventario].[Unidades vendidas].&amp;[432]" c="432"/>
              <i n="[Fact_Inventario].[Unidades vendidas].&amp;[435]" c="435"/>
              <i n="[Fact_Inventario].[Unidades vendidas].&amp;[456]" c="456"/>
              <i n="[Fact_Inventario].[Unidades vendidas].&amp;[463]" c="463"/>
            </range>
          </ranges>
        </level>
      </levels>
      <selections count="1">
        <selection n="[Fact_Inventario].[Unidades vendidas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ID_Proveedor" xr10:uid="{890C47BD-31AE-4789-80CB-EBE62FE35EC2}" cache="SegmentaciónDeDatos_ID_Proveedor" caption="ID_Proveedor" level="1" rowHeight="247650"/>
  <slicer name="Categoría" xr10:uid="{1BCE88C3-314F-4192-AD02-9449BB71D23B}" cache="SegmentaciónDeDatos_Categoría" caption="Categoría" level="1" rowHeight="247650"/>
  <slicer name="Unidades vendidas" xr10:uid="{E1647883-82E3-4973-9A5F-8A4BAD6E32FE}" cache="SegmentaciónDeDatos_Unidades_vendidas" caption="Unidades vendidas" startItem="15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CB684D-5543-4E60-9496-0408B7B71732}" name="Tabla_DatosExternos_1" displayName="Tabla_DatosExternos_1" ref="A3:K1003" tableType="queryTable" totalsRowShown="0">
  <autoFilter ref="A3:K1003" xr:uid="{BFCB684D-5543-4E60-9496-0408B7B71732}"/>
  <tableColumns count="11">
    <tableColumn id="1" xr3:uid="{05434402-36F0-4FDF-9A0E-1596089BDB8B}" uniqueName="1" name="Fact_Inventario[Costo unitario]" queryTableFieldId="1"/>
    <tableColumn id="2" xr3:uid="{178DC5AB-CFC2-4053-8294-2B1EC9D5FA83}" uniqueName="2" name="Fact_Inventario[Estado del stock]" queryTableFieldId="2"/>
    <tableColumn id="3" xr3:uid="{B8D74697-CD2F-4750-AAB1-181D60A54BD5}" uniqueName="3" name="Fact_Inventario[ID del producto]" queryTableFieldId="3"/>
    <tableColumn id="4" xr3:uid="{953CCACF-7D45-4531-B12C-B6B992CE8D5A}" uniqueName="4" name="Fact_Inventario[ID_Categoria]" queryTableFieldId="4"/>
    <tableColumn id="5" xr3:uid="{5F13AEE8-3965-480B-BEF7-3E25E6CAF566}" uniqueName="5" name="Fact_Inventario[ID_Proveedor]" queryTableFieldId="5"/>
    <tableColumn id="6" xr3:uid="{5912C6F4-8C06-44DE-AF0E-31561D5F72D3}" uniqueName="6" name="Fact_Inventario[Nombre del producto]" queryTableFieldId="6"/>
    <tableColumn id="7" xr3:uid="{A2FCF356-94F2-4AA1-BCF9-F9D5B43F8A9A}" uniqueName="7" name="Fact_Inventario[Precio minorista]" queryTableFieldId="7"/>
    <tableColumn id="8" xr3:uid="{33A0A5D2-E085-4B47-B6B4-B45005DA3889}" uniqueName="8" name="Fact_Inventario[Punto de reposición]" queryTableFieldId="8"/>
    <tableColumn id="9" xr3:uid="{C2F7DF72-857F-4F5E-B6AE-9EBF34288DDC}" uniqueName="9" name="Fact_Inventario[Stock final]" queryTableFieldId="9"/>
    <tableColumn id="10" xr3:uid="{FCB9C352-ABEE-4494-9C50-64D04B83B1E8}" uniqueName="10" name="Fact_Inventario[Stock inicial]" queryTableFieldId="10"/>
    <tableColumn id="11" xr3:uid="{B3CD0BAE-A22D-4B57-B15D-023D68BBE7ED}" uniqueName="11" name="Fact_Inventario[Unidades vendidas]" queryTableField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06EEC-A85D-40DB-9F5C-8E0EAE4F9E53}">
  <dimension ref="A1:D1001"/>
  <sheetViews>
    <sheetView workbookViewId="0">
      <selection activeCell="C3" sqref="C3"/>
    </sheetView>
  </sheetViews>
  <sheetFormatPr baseColWidth="10" defaultRowHeight="14.4" x14ac:dyDescent="0.3"/>
  <cols>
    <col min="1" max="1" width="16.88671875" bestFit="1" customWidth="1"/>
    <col min="3" max="3" width="21.5546875" bestFit="1" customWidth="1"/>
    <col min="4" max="4" width="8.5546875" bestFit="1" customWidth="1"/>
  </cols>
  <sheetData>
    <row r="1" spans="1:4" x14ac:dyDescent="0.3">
      <c r="A1" s="2" t="s">
        <v>0</v>
      </c>
      <c r="B1" s="2"/>
      <c r="C1" s="3" t="s">
        <v>0</v>
      </c>
      <c r="D1" s="3"/>
    </row>
    <row r="2" spans="1:4" x14ac:dyDescent="0.3">
      <c r="A2" s="4">
        <v>118</v>
      </c>
    </row>
    <row r="3" spans="1:4" x14ac:dyDescent="0.3">
      <c r="A3" s="4">
        <v>10</v>
      </c>
      <c r="C3" s="5" t="s">
        <v>1</v>
      </c>
      <c r="D3" s="7">
        <v>137.04</v>
      </c>
    </row>
    <row r="4" spans="1:4" x14ac:dyDescent="0.3">
      <c r="A4" s="4">
        <v>195</v>
      </c>
      <c r="C4" s="5" t="s">
        <v>2</v>
      </c>
      <c r="D4" s="8">
        <v>3.2768543107947554</v>
      </c>
    </row>
    <row r="5" spans="1:4" x14ac:dyDescent="0.3">
      <c r="A5" s="4">
        <v>140</v>
      </c>
      <c r="C5" s="5" t="s">
        <v>3</v>
      </c>
      <c r="D5" s="9">
        <v>108.5</v>
      </c>
    </row>
    <row r="6" spans="1:4" x14ac:dyDescent="0.3">
      <c r="A6" s="4">
        <v>8</v>
      </c>
      <c r="C6" s="5" t="s">
        <v>4</v>
      </c>
      <c r="D6" s="10">
        <v>21</v>
      </c>
    </row>
    <row r="7" spans="1:4" x14ac:dyDescent="0.3">
      <c r="A7" s="4">
        <v>52</v>
      </c>
      <c r="C7" s="5" t="s">
        <v>5</v>
      </c>
      <c r="D7" s="7">
        <v>103.62323182652706</v>
      </c>
    </row>
    <row r="8" spans="1:4" x14ac:dyDescent="0.3">
      <c r="A8" s="4">
        <v>6</v>
      </c>
      <c r="C8" s="5" t="s">
        <v>6</v>
      </c>
      <c r="D8" s="7">
        <v>10737.774174174172</v>
      </c>
    </row>
    <row r="9" spans="1:4" x14ac:dyDescent="0.3">
      <c r="A9" s="4">
        <v>72</v>
      </c>
      <c r="C9" s="5" t="s">
        <v>7</v>
      </c>
      <c r="D9" s="11">
        <v>-4.6611573541665674E-2</v>
      </c>
    </row>
    <row r="10" spans="1:4" x14ac:dyDescent="0.3">
      <c r="A10" s="4">
        <v>59</v>
      </c>
      <c r="C10" s="5" t="s">
        <v>8</v>
      </c>
      <c r="D10" s="11">
        <v>0.88351562749964718</v>
      </c>
    </row>
    <row r="11" spans="1:4" x14ac:dyDescent="0.3">
      <c r="A11" s="4">
        <v>14</v>
      </c>
      <c r="C11" s="5" t="s">
        <v>9</v>
      </c>
      <c r="D11" s="10">
        <v>460</v>
      </c>
    </row>
    <row r="12" spans="1:4" x14ac:dyDescent="0.3">
      <c r="A12" s="4">
        <v>83</v>
      </c>
      <c r="C12" s="5" t="s">
        <v>10</v>
      </c>
      <c r="D12" s="10">
        <v>3</v>
      </c>
    </row>
    <row r="13" spans="1:4" x14ac:dyDescent="0.3">
      <c r="A13" s="4">
        <v>211</v>
      </c>
      <c r="C13" s="5" t="s">
        <v>11</v>
      </c>
      <c r="D13" s="10">
        <v>463</v>
      </c>
    </row>
    <row r="14" spans="1:4" x14ac:dyDescent="0.3">
      <c r="A14" s="4">
        <v>14</v>
      </c>
      <c r="C14" s="5" t="s">
        <v>12</v>
      </c>
      <c r="D14" s="12">
        <v>137040</v>
      </c>
    </row>
    <row r="15" spans="1:4" ht="15" thickBot="1" x14ac:dyDescent="0.35">
      <c r="A15" s="4">
        <v>110</v>
      </c>
      <c r="C15" s="6" t="s">
        <v>13</v>
      </c>
      <c r="D15" s="13">
        <v>1000</v>
      </c>
    </row>
    <row r="16" spans="1:4" x14ac:dyDescent="0.3">
      <c r="A16" s="4">
        <v>143</v>
      </c>
    </row>
    <row r="17" spans="1:1" x14ac:dyDescent="0.3">
      <c r="A17" s="4">
        <v>99</v>
      </c>
    </row>
    <row r="18" spans="1:1" x14ac:dyDescent="0.3">
      <c r="A18" s="4">
        <v>381</v>
      </c>
    </row>
    <row r="19" spans="1:1" x14ac:dyDescent="0.3">
      <c r="A19" s="4">
        <v>346</v>
      </c>
    </row>
    <row r="20" spans="1:1" x14ac:dyDescent="0.3">
      <c r="A20" s="4">
        <v>41</v>
      </c>
    </row>
    <row r="21" spans="1:1" x14ac:dyDescent="0.3">
      <c r="A21" s="4">
        <v>5</v>
      </c>
    </row>
    <row r="22" spans="1:1" x14ac:dyDescent="0.3">
      <c r="A22" s="4">
        <v>291</v>
      </c>
    </row>
    <row r="23" spans="1:1" x14ac:dyDescent="0.3">
      <c r="A23" s="4">
        <v>91</v>
      </c>
    </row>
    <row r="24" spans="1:1" x14ac:dyDescent="0.3">
      <c r="A24" s="4">
        <v>183</v>
      </c>
    </row>
    <row r="25" spans="1:1" x14ac:dyDescent="0.3">
      <c r="A25" s="4">
        <v>22</v>
      </c>
    </row>
    <row r="26" spans="1:1" x14ac:dyDescent="0.3">
      <c r="A26" s="4">
        <v>317</v>
      </c>
    </row>
    <row r="27" spans="1:1" x14ac:dyDescent="0.3">
      <c r="A27" s="4">
        <v>259</v>
      </c>
    </row>
    <row r="28" spans="1:1" x14ac:dyDescent="0.3">
      <c r="A28" s="4">
        <v>171</v>
      </c>
    </row>
    <row r="29" spans="1:1" x14ac:dyDescent="0.3">
      <c r="A29" s="4">
        <v>102</v>
      </c>
    </row>
    <row r="30" spans="1:1" x14ac:dyDescent="0.3">
      <c r="A30" s="4">
        <v>32</v>
      </c>
    </row>
    <row r="31" spans="1:1" x14ac:dyDescent="0.3">
      <c r="A31" s="4">
        <v>114</v>
      </c>
    </row>
    <row r="32" spans="1:1" x14ac:dyDescent="0.3">
      <c r="A32" s="4">
        <v>159</v>
      </c>
    </row>
    <row r="33" spans="1:1" x14ac:dyDescent="0.3">
      <c r="A33" s="4">
        <v>16</v>
      </c>
    </row>
    <row r="34" spans="1:1" x14ac:dyDescent="0.3">
      <c r="A34" s="4">
        <v>287</v>
      </c>
    </row>
    <row r="35" spans="1:1" x14ac:dyDescent="0.3">
      <c r="A35" s="4">
        <v>53</v>
      </c>
    </row>
    <row r="36" spans="1:1" x14ac:dyDescent="0.3">
      <c r="A36" s="4">
        <v>156</v>
      </c>
    </row>
    <row r="37" spans="1:1" x14ac:dyDescent="0.3">
      <c r="A37" s="4">
        <v>137</v>
      </c>
    </row>
    <row r="38" spans="1:1" x14ac:dyDescent="0.3">
      <c r="A38" s="4">
        <v>108</v>
      </c>
    </row>
    <row r="39" spans="1:1" x14ac:dyDescent="0.3">
      <c r="A39" s="4">
        <v>326</v>
      </c>
    </row>
    <row r="40" spans="1:1" x14ac:dyDescent="0.3">
      <c r="A40" s="4">
        <v>25</v>
      </c>
    </row>
    <row r="41" spans="1:1" x14ac:dyDescent="0.3">
      <c r="A41" s="4">
        <v>33</v>
      </c>
    </row>
    <row r="42" spans="1:1" x14ac:dyDescent="0.3">
      <c r="A42" s="4">
        <v>290</v>
      </c>
    </row>
    <row r="43" spans="1:1" x14ac:dyDescent="0.3">
      <c r="A43" s="4">
        <v>243</v>
      </c>
    </row>
    <row r="44" spans="1:1" x14ac:dyDescent="0.3">
      <c r="A44" s="4">
        <v>146</v>
      </c>
    </row>
    <row r="45" spans="1:1" x14ac:dyDescent="0.3">
      <c r="A45" s="4">
        <v>224</v>
      </c>
    </row>
    <row r="46" spans="1:1" x14ac:dyDescent="0.3">
      <c r="A46" s="4">
        <v>238</v>
      </c>
    </row>
    <row r="47" spans="1:1" x14ac:dyDescent="0.3">
      <c r="A47" s="4">
        <v>38</v>
      </c>
    </row>
    <row r="48" spans="1:1" x14ac:dyDescent="0.3">
      <c r="A48" s="4">
        <v>286</v>
      </c>
    </row>
    <row r="49" spans="1:1" x14ac:dyDescent="0.3">
      <c r="A49" s="4">
        <v>76</v>
      </c>
    </row>
    <row r="50" spans="1:1" x14ac:dyDescent="0.3">
      <c r="A50" s="4">
        <v>165</v>
      </c>
    </row>
    <row r="51" spans="1:1" x14ac:dyDescent="0.3">
      <c r="A51" s="4">
        <v>129</v>
      </c>
    </row>
    <row r="52" spans="1:1" x14ac:dyDescent="0.3">
      <c r="A52" s="4">
        <v>55</v>
      </c>
    </row>
    <row r="53" spans="1:1" x14ac:dyDescent="0.3">
      <c r="A53" s="4">
        <v>9</v>
      </c>
    </row>
    <row r="54" spans="1:1" x14ac:dyDescent="0.3">
      <c r="A54" s="4">
        <v>75</v>
      </c>
    </row>
    <row r="55" spans="1:1" x14ac:dyDescent="0.3">
      <c r="A55" s="4">
        <v>43</v>
      </c>
    </row>
    <row r="56" spans="1:1" x14ac:dyDescent="0.3">
      <c r="A56" s="4">
        <v>41</v>
      </c>
    </row>
    <row r="57" spans="1:1" x14ac:dyDescent="0.3">
      <c r="A57" s="4">
        <v>94</v>
      </c>
    </row>
    <row r="58" spans="1:1" x14ac:dyDescent="0.3">
      <c r="A58" s="4">
        <v>158</v>
      </c>
    </row>
    <row r="59" spans="1:1" x14ac:dyDescent="0.3">
      <c r="A59" s="4">
        <v>37</v>
      </c>
    </row>
    <row r="60" spans="1:1" x14ac:dyDescent="0.3">
      <c r="A60" s="4">
        <v>11</v>
      </c>
    </row>
    <row r="61" spans="1:1" x14ac:dyDescent="0.3">
      <c r="A61" s="4">
        <v>83</v>
      </c>
    </row>
    <row r="62" spans="1:1" x14ac:dyDescent="0.3">
      <c r="A62" s="4">
        <v>83</v>
      </c>
    </row>
    <row r="63" spans="1:1" x14ac:dyDescent="0.3">
      <c r="A63" s="4">
        <v>56</v>
      </c>
    </row>
    <row r="64" spans="1:1" x14ac:dyDescent="0.3">
      <c r="A64" s="4">
        <v>65</v>
      </c>
    </row>
    <row r="65" spans="1:1" x14ac:dyDescent="0.3">
      <c r="A65" s="4">
        <v>118</v>
      </c>
    </row>
    <row r="66" spans="1:1" x14ac:dyDescent="0.3">
      <c r="A66" s="4">
        <v>104</v>
      </c>
    </row>
    <row r="67" spans="1:1" x14ac:dyDescent="0.3">
      <c r="A67" s="4">
        <v>119</v>
      </c>
    </row>
    <row r="68" spans="1:1" x14ac:dyDescent="0.3">
      <c r="A68" s="4">
        <v>58</v>
      </c>
    </row>
    <row r="69" spans="1:1" x14ac:dyDescent="0.3">
      <c r="A69" s="4">
        <v>206</v>
      </c>
    </row>
    <row r="70" spans="1:1" x14ac:dyDescent="0.3">
      <c r="A70" s="4">
        <v>97</v>
      </c>
    </row>
    <row r="71" spans="1:1" x14ac:dyDescent="0.3">
      <c r="A71" s="4">
        <v>30</v>
      </c>
    </row>
    <row r="72" spans="1:1" x14ac:dyDescent="0.3">
      <c r="A72" s="4">
        <v>19</v>
      </c>
    </row>
    <row r="73" spans="1:1" x14ac:dyDescent="0.3">
      <c r="A73" s="4">
        <v>26</v>
      </c>
    </row>
    <row r="74" spans="1:1" x14ac:dyDescent="0.3">
      <c r="A74" s="4">
        <v>99</v>
      </c>
    </row>
    <row r="75" spans="1:1" x14ac:dyDescent="0.3">
      <c r="A75" s="4">
        <v>38</v>
      </c>
    </row>
    <row r="76" spans="1:1" x14ac:dyDescent="0.3">
      <c r="A76" s="4">
        <v>205</v>
      </c>
    </row>
    <row r="77" spans="1:1" x14ac:dyDescent="0.3">
      <c r="A77" s="4">
        <v>75</v>
      </c>
    </row>
    <row r="78" spans="1:1" x14ac:dyDescent="0.3">
      <c r="A78" s="4">
        <v>43</v>
      </c>
    </row>
    <row r="79" spans="1:1" x14ac:dyDescent="0.3">
      <c r="A79" s="4">
        <v>178</v>
      </c>
    </row>
    <row r="80" spans="1:1" x14ac:dyDescent="0.3">
      <c r="A80" s="4">
        <v>16</v>
      </c>
    </row>
    <row r="81" spans="1:1" x14ac:dyDescent="0.3">
      <c r="A81" s="4">
        <v>150</v>
      </c>
    </row>
    <row r="82" spans="1:1" x14ac:dyDescent="0.3">
      <c r="A82" s="4">
        <v>129</v>
      </c>
    </row>
    <row r="83" spans="1:1" x14ac:dyDescent="0.3">
      <c r="A83" s="4">
        <v>59</v>
      </c>
    </row>
    <row r="84" spans="1:1" x14ac:dyDescent="0.3">
      <c r="A84" s="4">
        <v>82</v>
      </c>
    </row>
    <row r="85" spans="1:1" x14ac:dyDescent="0.3">
      <c r="A85" s="4">
        <v>42</v>
      </c>
    </row>
    <row r="86" spans="1:1" x14ac:dyDescent="0.3">
      <c r="A86" s="4">
        <v>152</v>
      </c>
    </row>
    <row r="87" spans="1:1" x14ac:dyDescent="0.3">
      <c r="A87" s="4">
        <v>116</v>
      </c>
    </row>
    <row r="88" spans="1:1" x14ac:dyDescent="0.3">
      <c r="A88" s="4">
        <v>116</v>
      </c>
    </row>
    <row r="89" spans="1:1" x14ac:dyDescent="0.3">
      <c r="A89" s="4">
        <v>412</v>
      </c>
    </row>
    <row r="90" spans="1:1" x14ac:dyDescent="0.3">
      <c r="A90" s="4">
        <v>21</v>
      </c>
    </row>
    <row r="91" spans="1:1" x14ac:dyDescent="0.3">
      <c r="A91" s="4">
        <v>7</v>
      </c>
    </row>
    <row r="92" spans="1:1" x14ac:dyDescent="0.3">
      <c r="A92" s="4">
        <v>38</v>
      </c>
    </row>
    <row r="93" spans="1:1" x14ac:dyDescent="0.3">
      <c r="A93" s="4">
        <v>48</v>
      </c>
    </row>
    <row r="94" spans="1:1" x14ac:dyDescent="0.3">
      <c r="A94" s="4">
        <v>133</v>
      </c>
    </row>
    <row r="95" spans="1:1" x14ac:dyDescent="0.3">
      <c r="A95" s="4">
        <v>17</v>
      </c>
    </row>
    <row r="96" spans="1:1" x14ac:dyDescent="0.3">
      <c r="A96" s="4">
        <v>101</v>
      </c>
    </row>
    <row r="97" spans="1:1" x14ac:dyDescent="0.3">
      <c r="A97" s="4">
        <v>39</v>
      </c>
    </row>
    <row r="98" spans="1:1" x14ac:dyDescent="0.3">
      <c r="A98" s="4">
        <v>32</v>
      </c>
    </row>
    <row r="99" spans="1:1" x14ac:dyDescent="0.3">
      <c r="A99" s="4">
        <v>158</v>
      </c>
    </row>
    <row r="100" spans="1:1" x14ac:dyDescent="0.3">
      <c r="A100" s="4">
        <v>56</v>
      </c>
    </row>
    <row r="101" spans="1:1" x14ac:dyDescent="0.3">
      <c r="A101" s="4">
        <v>351</v>
      </c>
    </row>
    <row r="102" spans="1:1" x14ac:dyDescent="0.3">
      <c r="A102" s="4">
        <v>154</v>
      </c>
    </row>
    <row r="103" spans="1:1" x14ac:dyDescent="0.3">
      <c r="A103" s="4">
        <v>148</v>
      </c>
    </row>
    <row r="104" spans="1:1" x14ac:dyDescent="0.3">
      <c r="A104" s="4">
        <v>143</v>
      </c>
    </row>
    <row r="105" spans="1:1" x14ac:dyDescent="0.3">
      <c r="A105" s="4">
        <v>276</v>
      </c>
    </row>
    <row r="106" spans="1:1" x14ac:dyDescent="0.3">
      <c r="A106" s="4">
        <v>178</v>
      </c>
    </row>
    <row r="107" spans="1:1" x14ac:dyDescent="0.3">
      <c r="A107" s="4">
        <v>88</v>
      </c>
    </row>
    <row r="108" spans="1:1" x14ac:dyDescent="0.3">
      <c r="A108" s="4">
        <v>177</v>
      </c>
    </row>
    <row r="109" spans="1:1" x14ac:dyDescent="0.3">
      <c r="A109" s="4">
        <v>42</v>
      </c>
    </row>
    <row r="110" spans="1:1" x14ac:dyDescent="0.3">
      <c r="A110" s="4">
        <v>237</v>
      </c>
    </row>
    <row r="111" spans="1:1" x14ac:dyDescent="0.3">
      <c r="A111" s="4">
        <v>322</v>
      </c>
    </row>
    <row r="112" spans="1:1" x14ac:dyDescent="0.3">
      <c r="A112" s="4">
        <v>27</v>
      </c>
    </row>
    <row r="113" spans="1:1" x14ac:dyDescent="0.3">
      <c r="A113" s="4">
        <v>58</v>
      </c>
    </row>
    <row r="114" spans="1:1" x14ac:dyDescent="0.3">
      <c r="A114" s="4">
        <v>177</v>
      </c>
    </row>
    <row r="115" spans="1:1" x14ac:dyDescent="0.3">
      <c r="A115" s="4">
        <v>37</v>
      </c>
    </row>
    <row r="116" spans="1:1" x14ac:dyDescent="0.3">
      <c r="A116" s="4">
        <v>99</v>
      </c>
    </row>
    <row r="117" spans="1:1" x14ac:dyDescent="0.3">
      <c r="A117" s="4">
        <v>73</v>
      </c>
    </row>
    <row r="118" spans="1:1" x14ac:dyDescent="0.3">
      <c r="A118" s="4">
        <v>32</v>
      </c>
    </row>
    <row r="119" spans="1:1" x14ac:dyDescent="0.3">
      <c r="A119" s="4">
        <v>279</v>
      </c>
    </row>
    <row r="120" spans="1:1" x14ac:dyDescent="0.3">
      <c r="A120" s="4">
        <v>60</v>
      </c>
    </row>
    <row r="121" spans="1:1" x14ac:dyDescent="0.3">
      <c r="A121" s="4">
        <v>36</v>
      </c>
    </row>
    <row r="122" spans="1:1" x14ac:dyDescent="0.3">
      <c r="A122" s="4">
        <v>199</v>
      </c>
    </row>
    <row r="123" spans="1:1" x14ac:dyDescent="0.3">
      <c r="A123" s="4">
        <v>177</v>
      </c>
    </row>
    <row r="124" spans="1:1" x14ac:dyDescent="0.3">
      <c r="A124" s="4">
        <v>232</v>
      </c>
    </row>
    <row r="125" spans="1:1" x14ac:dyDescent="0.3">
      <c r="A125" s="4">
        <v>65</v>
      </c>
    </row>
    <row r="126" spans="1:1" x14ac:dyDescent="0.3">
      <c r="A126" s="4">
        <v>88</v>
      </c>
    </row>
    <row r="127" spans="1:1" x14ac:dyDescent="0.3">
      <c r="A127" s="4">
        <v>63</v>
      </c>
    </row>
    <row r="128" spans="1:1" x14ac:dyDescent="0.3">
      <c r="A128" s="4">
        <v>264</v>
      </c>
    </row>
    <row r="129" spans="1:1" x14ac:dyDescent="0.3">
      <c r="A129" s="4">
        <v>96</v>
      </c>
    </row>
    <row r="130" spans="1:1" x14ac:dyDescent="0.3">
      <c r="A130" s="4">
        <v>90</v>
      </c>
    </row>
    <row r="131" spans="1:1" x14ac:dyDescent="0.3">
      <c r="A131" s="4">
        <v>75</v>
      </c>
    </row>
    <row r="132" spans="1:1" x14ac:dyDescent="0.3">
      <c r="A132" s="4">
        <v>94</v>
      </c>
    </row>
    <row r="133" spans="1:1" x14ac:dyDescent="0.3">
      <c r="A133" s="4">
        <v>142</v>
      </c>
    </row>
    <row r="134" spans="1:1" x14ac:dyDescent="0.3">
      <c r="A134" s="4">
        <v>370</v>
      </c>
    </row>
    <row r="135" spans="1:1" x14ac:dyDescent="0.3">
      <c r="A135" s="4">
        <v>88</v>
      </c>
    </row>
    <row r="136" spans="1:1" x14ac:dyDescent="0.3">
      <c r="A136" s="4">
        <v>96</v>
      </c>
    </row>
    <row r="137" spans="1:1" x14ac:dyDescent="0.3">
      <c r="A137" s="4">
        <v>56</v>
      </c>
    </row>
    <row r="138" spans="1:1" x14ac:dyDescent="0.3">
      <c r="A138" s="4">
        <v>407</v>
      </c>
    </row>
    <row r="139" spans="1:1" x14ac:dyDescent="0.3">
      <c r="A139" s="4">
        <v>150</v>
      </c>
    </row>
    <row r="140" spans="1:1" x14ac:dyDescent="0.3">
      <c r="A140" s="4">
        <v>62</v>
      </c>
    </row>
    <row r="141" spans="1:1" x14ac:dyDescent="0.3">
      <c r="A141" s="4">
        <v>37</v>
      </c>
    </row>
    <row r="142" spans="1:1" x14ac:dyDescent="0.3">
      <c r="A142" s="4">
        <v>115</v>
      </c>
    </row>
    <row r="143" spans="1:1" x14ac:dyDescent="0.3">
      <c r="A143" s="4">
        <v>67</v>
      </c>
    </row>
    <row r="144" spans="1:1" x14ac:dyDescent="0.3">
      <c r="A144" s="4">
        <v>45</v>
      </c>
    </row>
    <row r="145" spans="1:1" x14ac:dyDescent="0.3">
      <c r="A145" s="4">
        <v>97</v>
      </c>
    </row>
    <row r="146" spans="1:1" x14ac:dyDescent="0.3">
      <c r="A146" s="4">
        <v>85</v>
      </c>
    </row>
    <row r="147" spans="1:1" x14ac:dyDescent="0.3">
      <c r="A147" s="4">
        <v>45</v>
      </c>
    </row>
    <row r="148" spans="1:1" x14ac:dyDescent="0.3">
      <c r="A148" s="4">
        <v>388</v>
      </c>
    </row>
    <row r="149" spans="1:1" x14ac:dyDescent="0.3">
      <c r="A149" s="4">
        <v>70</v>
      </c>
    </row>
    <row r="150" spans="1:1" x14ac:dyDescent="0.3">
      <c r="A150" s="4">
        <v>334</v>
      </c>
    </row>
    <row r="151" spans="1:1" x14ac:dyDescent="0.3">
      <c r="A151" s="4">
        <v>184</v>
      </c>
    </row>
    <row r="152" spans="1:1" x14ac:dyDescent="0.3">
      <c r="A152" s="4">
        <v>366</v>
      </c>
    </row>
    <row r="153" spans="1:1" x14ac:dyDescent="0.3">
      <c r="A153" s="4">
        <v>29</v>
      </c>
    </row>
    <row r="154" spans="1:1" x14ac:dyDescent="0.3">
      <c r="A154" s="4">
        <v>46</v>
      </c>
    </row>
    <row r="155" spans="1:1" x14ac:dyDescent="0.3">
      <c r="A155" s="4">
        <v>329</v>
      </c>
    </row>
    <row r="156" spans="1:1" x14ac:dyDescent="0.3">
      <c r="A156" s="4">
        <v>62</v>
      </c>
    </row>
    <row r="157" spans="1:1" x14ac:dyDescent="0.3">
      <c r="A157" s="4">
        <v>108</v>
      </c>
    </row>
    <row r="158" spans="1:1" x14ac:dyDescent="0.3">
      <c r="A158" s="4">
        <v>47</v>
      </c>
    </row>
    <row r="159" spans="1:1" x14ac:dyDescent="0.3">
      <c r="A159" s="4">
        <v>78</v>
      </c>
    </row>
    <row r="160" spans="1:1" x14ac:dyDescent="0.3">
      <c r="A160" s="4">
        <v>357</v>
      </c>
    </row>
    <row r="161" spans="1:1" x14ac:dyDescent="0.3">
      <c r="A161" s="4">
        <v>135</v>
      </c>
    </row>
    <row r="162" spans="1:1" x14ac:dyDescent="0.3">
      <c r="A162" s="4">
        <v>402</v>
      </c>
    </row>
    <row r="163" spans="1:1" x14ac:dyDescent="0.3">
      <c r="A163" s="4">
        <v>214</v>
      </c>
    </row>
    <row r="164" spans="1:1" x14ac:dyDescent="0.3">
      <c r="A164" s="4">
        <v>77</v>
      </c>
    </row>
    <row r="165" spans="1:1" x14ac:dyDescent="0.3">
      <c r="A165" s="4">
        <v>137</v>
      </c>
    </row>
    <row r="166" spans="1:1" x14ac:dyDescent="0.3">
      <c r="A166" s="4">
        <v>75</v>
      </c>
    </row>
    <row r="167" spans="1:1" x14ac:dyDescent="0.3">
      <c r="A167" s="4">
        <v>137</v>
      </c>
    </row>
    <row r="168" spans="1:1" x14ac:dyDescent="0.3">
      <c r="A168" s="4">
        <v>39</v>
      </c>
    </row>
    <row r="169" spans="1:1" x14ac:dyDescent="0.3">
      <c r="A169" s="4">
        <v>122</v>
      </c>
    </row>
    <row r="170" spans="1:1" x14ac:dyDescent="0.3">
      <c r="A170" s="4">
        <v>205</v>
      </c>
    </row>
    <row r="171" spans="1:1" x14ac:dyDescent="0.3">
      <c r="A171" s="4">
        <v>93</v>
      </c>
    </row>
    <row r="172" spans="1:1" x14ac:dyDescent="0.3">
      <c r="A172" s="4">
        <v>84</v>
      </c>
    </row>
    <row r="173" spans="1:1" x14ac:dyDescent="0.3">
      <c r="A173" s="4">
        <v>40</v>
      </c>
    </row>
    <row r="174" spans="1:1" x14ac:dyDescent="0.3">
      <c r="A174" s="4">
        <v>140</v>
      </c>
    </row>
    <row r="175" spans="1:1" x14ac:dyDescent="0.3">
      <c r="A175" s="4">
        <v>206</v>
      </c>
    </row>
    <row r="176" spans="1:1" x14ac:dyDescent="0.3">
      <c r="A176" s="4">
        <v>101</v>
      </c>
    </row>
    <row r="177" spans="1:1" x14ac:dyDescent="0.3">
      <c r="A177" s="4">
        <v>15</v>
      </c>
    </row>
    <row r="178" spans="1:1" x14ac:dyDescent="0.3">
      <c r="A178" s="4">
        <v>275</v>
      </c>
    </row>
    <row r="179" spans="1:1" x14ac:dyDescent="0.3">
      <c r="A179" s="4">
        <v>270</v>
      </c>
    </row>
    <row r="180" spans="1:1" x14ac:dyDescent="0.3">
      <c r="A180" s="4">
        <v>34</v>
      </c>
    </row>
    <row r="181" spans="1:1" x14ac:dyDescent="0.3">
      <c r="A181" s="4">
        <v>40</v>
      </c>
    </row>
    <row r="182" spans="1:1" x14ac:dyDescent="0.3">
      <c r="A182" s="4">
        <v>55</v>
      </c>
    </row>
    <row r="183" spans="1:1" x14ac:dyDescent="0.3">
      <c r="A183" s="4">
        <v>149</v>
      </c>
    </row>
    <row r="184" spans="1:1" x14ac:dyDescent="0.3">
      <c r="A184" s="4">
        <v>190</v>
      </c>
    </row>
    <row r="185" spans="1:1" x14ac:dyDescent="0.3">
      <c r="A185" s="4">
        <v>162</v>
      </c>
    </row>
    <row r="186" spans="1:1" x14ac:dyDescent="0.3">
      <c r="A186" s="4">
        <v>203</v>
      </c>
    </row>
    <row r="187" spans="1:1" x14ac:dyDescent="0.3">
      <c r="A187" s="4">
        <v>18</v>
      </c>
    </row>
    <row r="188" spans="1:1" x14ac:dyDescent="0.3">
      <c r="A188" s="4">
        <v>310</v>
      </c>
    </row>
    <row r="189" spans="1:1" x14ac:dyDescent="0.3">
      <c r="A189" s="4">
        <v>117</v>
      </c>
    </row>
    <row r="190" spans="1:1" x14ac:dyDescent="0.3">
      <c r="A190" s="4">
        <v>164</v>
      </c>
    </row>
    <row r="191" spans="1:1" x14ac:dyDescent="0.3">
      <c r="A191" s="4">
        <v>43</v>
      </c>
    </row>
    <row r="192" spans="1:1" x14ac:dyDescent="0.3">
      <c r="A192" s="4">
        <v>21</v>
      </c>
    </row>
    <row r="193" spans="1:1" x14ac:dyDescent="0.3">
      <c r="A193" s="4">
        <v>85</v>
      </c>
    </row>
    <row r="194" spans="1:1" x14ac:dyDescent="0.3">
      <c r="A194" s="4">
        <v>14</v>
      </c>
    </row>
    <row r="195" spans="1:1" x14ac:dyDescent="0.3">
      <c r="A195" s="4">
        <v>140</v>
      </c>
    </row>
    <row r="196" spans="1:1" x14ac:dyDescent="0.3">
      <c r="A196" s="4">
        <v>292</v>
      </c>
    </row>
    <row r="197" spans="1:1" x14ac:dyDescent="0.3">
      <c r="A197" s="4">
        <v>99</v>
      </c>
    </row>
    <row r="198" spans="1:1" x14ac:dyDescent="0.3">
      <c r="A198" s="4">
        <v>67</v>
      </c>
    </row>
    <row r="199" spans="1:1" x14ac:dyDescent="0.3">
      <c r="A199" s="4">
        <v>69</v>
      </c>
    </row>
    <row r="200" spans="1:1" x14ac:dyDescent="0.3">
      <c r="A200" s="4">
        <v>114</v>
      </c>
    </row>
    <row r="201" spans="1:1" x14ac:dyDescent="0.3">
      <c r="A201" s="4">
        <v>133</v>
      </c>
    </row>
    <row r="202" spans="1:1" x14ac:dyDescent="0.3">
      <c r="A202" s="4">
        <v>23</v>
      </c>
    </row>
    <row r="203" spans="1:1" x14ac:dyDescent="0.3">
      <c r="A203" s="4">
        <v>52</v>
      </c>
    </row>
    <row r="204" spans="1:1" x14ac:dyDescent="0.3">
      <c r="A204" s="4">
        <v>9</v>
      </c>
    </row>
    <row r="205" spans="1:1" x14ac:dyDescent="0.3">
      <c r="A205" s="4">
        <v>227</v>
      </c>
    </row>
    <row r="206" spans="1:1" x14ac:dyDescent="0.3">
      <c r="A206" s="4">
        <v>46</v>
      </c>
    </row>
    <row r="207" spans="1:1" x14ac:dyDescent="0.3">
      <c r="A207" s="4">
        <v>186</v>
      </c>
    </row>
    <row r="208" spans="1:1" x14ac:dyDescent="0.3">
      <c r="A208" s="4">
        <v>281</v>
      </c>
    </row>
    <row r="209" spans="1:1" x14ac:dyDescent="0.3">
      <c r="A209" s="4">
        <v>115</v>
      </c>
    </row>
    <row r="210" spans="1:1" x14ac:dyDescent="0.3">
      <c r="A210" s="4">
        <v>134</v>
      </c>
    </row>
    <row r="211" spans="1:1" x14ac:dyDescent="0.3">
      <c r="A211" s="4">
        <v>25</v>
      </c>
    </row>
    <row r="212" spans="1:1" x14ac:dyDescent="0.3">
      <c r="A212" s="4">
        <v>33</v>
      </c>
    </row>
    <row r="213" spans="1:1" x14ac:dyDescent="0.3">
      <c r="A213" s="4">
        <v>47</v>
      </c>
    </row>
    <row r="214" spans="1:1" x14ac:dyDescent="0.3">
      <c r="A214" s="4">
        <v>212</v>
      </c>
    </row>
    <row r="215" spans="1:1" x14ac:dyDescent="0.3">
      <c r="A215" s="4">
        <v>126</v>
      </c>
    </row>
    <row r="216" spans="1:1" x14ac:dyDescent="0.3">
      <c r="A216" s="4">
        <v>412</v>
      </c>
    </row>
    <row r="217" spans="1:1" x14ac:dyDescent="0.3">
      <c r="A217" s="4">
        <v>69</v>
      </c>
    </row>
    <row r="218" spans="1:1" x14ac:dyDescent="0.3">
      <c r="A218" s="4">
        <v>242</v>
      </c>
    </row>
    <row r="219" spans="1:1" x14ac:dyDescent="0.3">
      <c r="A219" s="4">
        <v>88</v>
      </c>
    </row>
    <row r="220" spans="1:1" x14ac:dyDescent="0.3">
      <c r="A220" s="4">
        <v>124</v>
      </c>
    </row>
    <row r="221" spans="1:1" x14ac:dyDescent="0.3">
      <c r="A221" s="4">
        <v>138</v>
      </c>
    </row>
    <row r="222" spans="1:1" x14ac:dyDescent="0.3">
      <c r="A222" s="4">
        <v>88</v>
      </c>
    </row>
    <row r="223" spans="1:1" x14ac:dyDescent="0.3">
      <c r="A223" s="4">
        <v>58</v>
      </c>
    </row>
    <row r="224" spans="1:1" x14ac:dyDescent="0.3">
      <c r="A224" s="4">
        <v>59</v>
      </c>
    </row>
    <row r="225" spans="1:1" x14ac:dyDescent="0.3">
      <c r="A225" s="4">
        <v>129</v>
      </c>
    </row>
    <row r="226" spans="1:1" x14ac:dyDescent="0.3">
      <c r="A226" s="4">
        <v>269</v>
      </c>
    </row>
    <row r="227" spans="1:1" x14ac:dyDescent="0.3">
      <c r="A227" s="4">
        <v>157</v>
      </c>
    </row>
    <row r="228" spans="1:1" x14ac:dyDescent="0.3">
      <c r="A228" s="4">
        <v>31</v>
      </c>
    </row>
    <row r="229" spans="1:1" x14ac:dyDescent="0.3">
      <c r="A229" s="4">
        <v>62</v>
      </c>
    </row>
    <row r="230" spans="1:1" x14ac:dyDescent="0.3">
      <c r="A230" s="4">
        <v>185</v>
      </c>
    </row>
    <row r="231" spans="1:1" x14ac:dyDescent="0.3">
      <c r="A231" s="4">
        <v>82</v>
      </c>
    </row>
    <row r="232" spans="1:1" x14ac:dyDescent="0.3">
      <c r="A232" s="4">
        <v>118</v>
      </c>
    </row>
    <row r="233" spans="1:1" x14ac:dyDescent="0.3">
      <c r="A233" s="4">
        <v>398</v>
      </c>
    </row>
    <row r="234" spans="1:1" x14ac:dyDescent="0.3">
      <c r="A234" s="4">
        <v>267</v>
      </c>
    </row>
    <row r="235" spans="1:1" x14ac:dyDescent="0.3">
      <c r="A235" s="4">
        <v>59</v>
      </c>
    </row>
    <row r="236" spans="1:1" x14ac:dyDescent="0.3">
      <c r="A236" s="4">
        <v>83</v>
      </c>
    </row>
    <row r="237" spans="1:1" x14ac:dyDescent="0.3">
      <c r="A237" s="4">
        <v>174</v>
      </c>
    </row>
    <row r="238" spans="1:1" x14ac:dyDescent="0.3">
      <c r="A238" s="4">
        <v>247</v>
      </c>
    </row>
    <row r="239" spans="1:1" x14ac:dyDescent="0.3">
      <c r="A239" s="4">
        <v>116</v>
      </c>
    </row>
    <row r="240" spans="1:1" x14ac:dyDescent="0.3">
      <c r="A240" s="4">
        <v>362</v>
      </c>
    </row>
    <row r="241" spans="1:1" x14ac:dyDescent="0.3">
      <c r="A241" s="4">
        <v>182</v>
      </c>
    </row>
    <row r="242" spans="1:1" x14ac:dyDescent="0.3">
      <c r="A242" s="4">
        <v>101</v>
      </c>
    </row>
    <row r="243" spans="1:1" x14ac:dyDescent="0.3">
      <c r="A243" s="4">
        <v>127</v>
      </c>
    </row>
    <row r="244" spans="1:1" x14ac:dyDescent="0.3">
      <c r="A244" s="4">
        <v>23</v>
      </c>
    </row>
    <row r="245" spans="1:1" x14ac:dyDescent="0.3">
      <c r="A245" s="4">
        <v>423</v>
      </c>
    </row>
    <row r="246" spans="1:1" x14ac:dyDescent="0.3">
      <c r="A246" s="4">
        <v>243</v>
      </c>
    </row>
    <row r="247" spans="1:1" x14ac:dyDescent="0.3">
      <c r="A247" s="4">
        <v>71</v>
      </c>
    </row>
    <row r="248" spans="1:1" x14ac:dyDescent="0.3">
      <c r="A248" s="4">
        <v>303</v>
      </c>
    </row>
    <row r="249" spans="1:1" x14ac:dyDescent="0.3">
      <c r="A249" s="4">
        <v>45</v>
      </c>
    </row>
    <row r="250" spans="1:1" x14ac:dyDescent="0.3">
      <c r="A250" s="4">
        <v>22</v>
      </c>
    </row>
    <row r="251" spans="1:1" x14ac:dyDescent="0.3">
      <c r="A251" s="4">
        <v>334</v>
      </c>
    </row>
    <row r="252" spans="1:1" x14ac:dyDescent="0.3">
      <c r="A252" s="4">
        <v>110</v>
      </c>
    </row>
    <row r="253" spans="1:1" x14ac:dyDescent="0.3">
      <c r="A253" s="4">
        <v>83</v>
      </c>
    </row>
    <row r="254" spans="1:1" x14ac:dyDescent="0.3">
      <c r="A254" s="4">
        <v>150</v>
      </c>
    </row>
    <row r="255" spans="1:1" x14ac:dyDescent="0.3">
      <c r="A255" s="4">
        <v>201</v>
      </c>
    </row>
    <row r="256" spans="1:1" x14ac:dyDescent="0.3">
      <c r="A256" s="4">
        <v>166</v>
      </c>
    </row>
    <row r="257" spans="1:1" x14ac:dyDescent="0.3">
      <c r="A257" s="4">
        <v>18</v>
      </c>
    </row>
    <row r="258" spans="1:1" x14ac:dyDescent="0.3">
      <c r="A258" s="4">
        <v>62</v>
      </c>
    </row>
    <row r="259" spans="1:1" x14ac:dyDescent="0.3">
      <c r="A259" s="4">
        <v>42</v>
      </c>
    </row>
    <row r="260" spans="1:1" x14ac:dyDescent="0.3">
      <c r="A260" s="4">
        <v>125</v>
      </c>
    </row>
    <row r="261" spans="1:1" x14ac:dyDescent="0.3">
      <c r="A261" s="4">
        <v>322</v>
      </c>
    </row>
    <row r="262" spans="1:1" x14ac:dyDescent="0.3">
      <c r="A262" s="4">
        <v>34</v>
      </c>
    </row>
    <row r="263" spans="1:1" x14ac:dyDescent="0.3">
      <c r="A263" s="4">
        <v>234</v>
      </c>
    </row>
    <row r="264" spans="1:1" x14ac:dyDescent="0.3">
      <c r="A264" s="4">
        <v>59</v>
      </c>
    </row>
    <row r="265" spans="1:1" x14ac:dyDescent="0.3">
      <c r="A265" s="4">
        <v>170</v>
      </c>
    </row>
    <row r="266" spans="1:1" x14ac:dyDescent="0.3">
      <c r="A266" s="4">
        <v>109</v>
      </c>
    </row>
    <row r="267" spans="1:1" x14ac:dyDescent="0.3">
      <c r="A267" s="4">
        <v>169</v>
      </c>
    </row>
    <row r="268" spans="1:1" x14ac:dyDescent="0.3">
      <c r="A268" s="4">
        <v>274</v>
      </c>
    </row>
    <row r="269" spans="1:1" x14ac:dyDescent="0.3">
      <c r="A269" s="4">
        <v>42</v>
      </c>
    </row>
    <row r="270" spans="1:1" x14ac:dyDescent="0.3">
      <c r="A270" s="4">
        <v>29</v>
      </c>
    </row>
    <row r="271" spans="1:1" x14ac:dyDescent="0.3">
      <c r="A271" s="4">
        <v>129</v>
      </c>
    </row>
    <row r="272" spans="1:1" x14ac:dyDescent="0.3">
      <c r="A272" s="4">
        <v>351</v>
      </c>
    </row>
    <row r="273" spans="1:1" x14ac:dyDescent="0.3">
      <c r="A273" s="4">
        <v>23</v>
      </c>
    </row>
    <row r="274" spans="1:1" x14ac:dyDescent="0.3">
      <c r="A274" s="4">
        <v>16</v>
      </c>
    </row>
    <row r="275" spans="1:1" x14ac:dyDescent="0.3">
      <c r="A275" s="4">
        <v>135</v>
      </c>
    </row>
    <row r="276" spans="1:1" x14ac:dyDescent="0.3">
      <c r="A276" s="4">
        <v>224</v>
      </c>
    </row>
    <row r="277" spans="1:1" x14ac:dyDescent="0.3">
      <c r="A277" s="4">
        <v>48</v>
      </c>
    </row>
    <row r="278" spans="1:1" x14ac:dyDescent="0.3">
      <c r="A278" s="4">
        <v>116</v>
      </c>
    </row>
    <row r="279" spans="1:1" x14ac:dyDescent="0.3">
      <c r="A279" s="4">
        <v>159</v>
      </c>
    </row>
    <row r="280" spans="1:1" x14ac:dyDescent="0.3">
      <c r="A280" s="4">
        <v>135</v>
      </c>
    </row>
    <row r="281" spans="1:1" x14ac:dyDescent="0.3">
      <c r="A281" s="4">
        <v>75</v>
      </c>
    </row>
    <row r="282" spans="1:1" x14ac:dyDescent="0.3">
      <c r="A282" s="4">
        <v>40</v>
      </c>
    </row>
    <row r="283" spans="1:1" x14ac:dyDescent="0.3">
      <c r="A283" s="4">
        <v>177</v>
      </c>
    </row>
    <row r="284" spans="1:1" x14ac:dyDescent="0.3">
      <c r="A284" s="4">
        <v>327</v>
      </c>
    </row>
    <row r="285" spans="1:1" x14ac:dyDescent="0.3">
      <c r="A285" s="4">
        <v>246</v>
      </c>
    </row>
    <row r="286" spans="1:1" x14ac:dyDescent="0.3">
      <c r="A286" s="4">
        <v>96</v>
      </c>
    </row>
    <row r="287" spans="1:1" x14ac:dyDescent="0.3">
      <c r="A287" s="4">
        <v>35</v>
      </c>
    </row>
    <row r="288" spans="1:1" x14ac:dyDescent="0.3">
      <c r="A288" s="4">
        <v>67</v>
      </c>
    </row>
    <row r="289" spans="1:1" x14ac:dyDescent="0.3">
      <c r="A289" s="4">
        <v>38</v>
      </c>
    </row>
    <row r="290" spans="1:1" x14ac:dyDescent="0.3">
      <c r="A290" s="4">
        <v>280</v>
      </c>
    </row>
    <row r="291" spans="1:1" x14ac:dyDescent="0.3">
      <c r="A291" s="4">
        <v>122</v>
      </c>
    </row>
    <row r="292" spans="1:1" x14ac:dyDescent="0.3">
      <c r="A292" s="4">
        <v>39</v>
      </c>
    </row>
    <row r="293" spans="1:1" x14ac:dyDescent="0.3">
      <c r="A293" s="4">
        <v>122</v>
      </c>
    </row>
    <row r="294" spans="1:1" x14ac:dyDescent="0.3">
      <c r="A294" s="4">
        <v>287</v>
      </c>
    </row>
    <row r="295" spans="1:1" x14ac:dyDescent="0.3">
      <c r="A295" s="4">
        <v>132</v>
      </c>
    </row>
    <row r="296" spans="1:1" x14ac:dyDescent="0.3">
      <c r="A296" s="4">
        <v>339</v>
      </c>
    </row>
    <row r="297" spans="1:1" x14ac:dyDescent="0.3">
      <c r="A297" s="4">
        <v>139</v>
      </c>
    </row>
    <row r="298" spans="1:1" x14ac:dyDescent="0.3">
      <c r="A298" s="4">
        <v>60</v>
      </c>
    </row>
    <row r="299" spans="1:1" x14ac:dyDescent="0.3">
      <c r="A299" s="4">
        <v>109</v>
      </c>
    </row>
    <row r="300" spans="1:1" x14ac:dyDescent="0.3">
      <c r="A300" s="4">
        <v>157</v>
      </c>
    </row>
    <row r="301" spans="1:1" x14ac:dyDescent="0.3">
      <c r="A301" s="4">
        <v>412</v>
      </c>
    </row>
    <row r="302" spans="1:1" x14ac:dyDescent="0.3">
      <c r="A302" s="4">
        <v>236</v>
      </c>
    </row>
    <row r="303" spans="1:1" x14ac:dyDescent="0.3">
      <c r="A303" s="4">
        <v>56</v>
      </c>
    </row>
    <row r="304" spans="1:1" x14ac:dyDescent="0.3">
      <c r="A304" s="4">
        <v>9</v>
      </c>
    </row>
    <row r="305" spans="1:1" x14ac:dyDescent="0.3">
      <c r="A305" s="4">
        <v>17</v>
      </c>
    </row>
    <row r="306" spans="1:1" x14ac:dyDescent="0.3">
      <c r="A306" s="4">
        <v>215</v>
      </c>
    </row>
    <row r="307" spans="1:1" x14ac:dyDescent="0.3">
      <c r="A307" s="4">
        <v>54</v>
      </c>
    </row>
    <row r="308" spans="1:1" x14ac:dyDescent="0.3">
      <c r="A308" s="4">
        <v>58</v>
      </c>
    </row>
    <row r="309" spans="1:1" x14ac:dyDescent="0.3">
      <c r="A309" s="4">
        <v>81</v>
      </c>
    </row>
    <row r="310" spans="1:1" x14ac:dyDescent="0.3">
      <c r="A310" s="4">
        <v>373</v>
      </c>
    </row>
    <row r="311" spans="1:1" x14ac:dyDescent="0.3">
      <c r="A311" s="4">
        <v>111</v>
      </c>
    </row>
    <row r="312" spans="1:1" x14ac:dyDescent="0.3">
      <c r="A312" s="4">
        <v>70</v>
      </c>
    </row>
    <row r="313" spans="1:1" x14ac:dyDescent="0.3">
      <c r="A313" s="4">
        <v>81</v>
      </c>
    </row>
    <row r="314" spans="1:1" x14ac:dyDescent="0.3">
      <c r="A314" s="4">
        <v>52</v>
      </c>
    </row>
    <row r="315" spans="1:1" x14ac:dyDescent="0.3">
      <c r="A315" s="4">
        <v>243</v>
      </c>
    </row>
    <row r="316" spans="1:1" x14ac:dyDescent="0.3">
      <c r="A316" s="4">
        <v>44</v>
      </c>
    </row>
    <row r="317" spans="1:1" x14ac:dyDescent="0.3">
      <c r="A317" s="4">
        <v>145</v>
      </c>
    </row>
    <row r="318" spans="1:1" x14ac:dyDescent="0.3">
      <c r="A318" s="4">
        <v>205</v>
      </c>
    </row>
    <row r="319" spans="1:1" x14ac:dyDescent="0.3">
      <c r="A319" s="4">
        <v>301</v>
      </c>
    </row>
    <row r="320" spans="1:1" x14ac:dyDescent="0.3">
      <c r="A320" s="4">
        <v>48</v>
      </c>
    </row>
    <row r="321" spans="1:1" x14ac:dyDescent="0.3">
      <c r="A321" s="4">
        <v>46</v>
      </c>
    </row>
    <row r="322" spans="1:1" x14ac:dyDescent="0.3">
      <c r="A322" s="4">
        <v>129</v>
      </c>
    </row>
    <row r="323" spans="1:1" x14ac:dyDescent="0.3">
      <c r="A323" s="4">
        <v>164</v>
      </c>
    </row>
    <row r="324" spans="1:1" x14ac:dyDescent="0.3">
      <c r="A324" s="4">
        <v>96</v>
      </c>
    </row>
    <row r="325" spans="1:1" x14ac:dyDescent="0.3">
      <c r="A325" s="4">
        <v>296</v>
      </c>
    </row>
    <row r="326" spans="1:1" x14ac:dyDescent="0.3">
      <c r="A326" s="4">
        <v>10</v>
      </c>
    </row>
    <row r="327" spans="1:1" x14ac:dyDescent="0.3">
      <c r="A327" s="4">
        <v>26</v>
      </c>
    </row>
    <row r="328" spans="1:1" x14ac:dyDescent="0.3">
      <c r="A328" s="4">
        <v>52</v>
      </c>
    </row>
    <row r="329" spans="1:1" x14ac:dyDescent="0.3">
      <c r="A329" s="4">
        <v>178</v>
      </c>
    </row>
    <row r="330" spans="1:1" x14ac:dyDescent="0.3">
      <c r="A330" s="4">
        <v>101</v>
      </c>
    </row>
    <row r="331" spans="1:1" x14ac:dyDescent="0.3">
      <c r="A331" s="4">
        <v>382</v>
      </c>
    </row>
    <row r="332" spans="1:1" x14ac:dyDescent="0.3">
      <c r="A332" s="4">
        <v>36</v>
      </c>
    </row>
    <row r="333" spans="1:1" x14ac:dyDescent="0.3">
      <c r="A333" s="4">
        <v>238</v>
      </c>
    </row>
    <row r="334" spans="1:1" x14ac:dyDescent="0.3">
      <c r="A334" s="4">
        <v>199</v>
      </c>
    </row>
    <row r="335" spans="1:1" x14ac:dyDescent="0.3">
      <c r="A335" s="4">
        <v>35</v>
      </c>
    </row>
    <row r="336" spans="1:1" x14ac:dyDescent="0.3">
      <c r="A336" s="4">
        <v>197</v>
      </c>
    </row>
    <row r="337" spans="1:1" x14ac:dyDescent="0.3">
      <c r="A337" s="4">
        <v>55</v>
      </c>
    </row>
    <row r="338" spans="1:1" x14ac:dyDescent="0.3">
      <c r="A338" s="4">
        <v>61</v>
      </c>
    </row>
    <row r="339" spans="1:1" x14ac:dyDescent="0.3">
      <c r="A339" s="4">
        <v>105</v>
      </c>
    </row>
    <row r="340" spans="1:1" x14ac:dyDescent="0.3">
      <c r="A340" s="4">
        <v>95</v>
      </c>
    </row>
    <row r="341" spans="1:1" x14ac:dyDescent="0.3">
      <c r="A341" s="4">
        <v>231</v>
      </c>
    </row>
    <row r="342" spans="1:1" x14ac:dyDescent="0.3">
      <c r="A342" s="4">
        <v>57</v>
      </c>
    </row>
    <row r="343" spans="1:1" x14ac:dyDescent="0.3">
      <c r="A343" s="4">
        <v>47</v>
      </c>
    </row>
    <row r="344" spans="1:1" x14ac:dyDescent="0.3">
      <c r="A344" s="4">
        <v>103</v>
      </c>
    </row>
    <row r="345" spans="1:1" x14ac:dyDescent="0.3">
      <c r="A345" s="4">
        <v>36</v>
      </c>
    </row>
    <row r="346" spans="1:1" x14ac:dyDescent="0.3">
      <c r="A346" s="4">
        <v>21</v>
      </c>
    </row>
    <row r="347" spans="1:1" x14ac:dyDescent="0.3">
      <c r="A347" s="4">
        <v>161</v>
      </c>
    </row>
    <row r="348" spans="1:1" x14ac:dyDescent="0.3">
      <c r="A348" s="4">
        <v>145</v>
      </c>
    </row>
    <row r="349" spans="1:1" x14ac:dyDescent="0.3">
      <c r="A349" s="4">
        <v>71</v>
      </c>
    </row>
    <row r="350" spans="1:1" x14ac:dyDescent="0.3">
      <c r="A350" s="4">
        <v>3</v>
      </c>
    </row>
    <row r="351" spans="1:1" x14ac:dyDescent="0.3">
      <c r="A351" s="4">
        <v>11</v>
      </c>
    </row>
    <row r="352" spans="1:1" x14ac:dyDescent="0.3">
      <c r="A352" s="4">
        <v>100</v>
      </c>
    </row>
    <row r="353" spans="1:1" x14ac:dyDescent="0.3">
      <c r="A353" s="4">
        <v>51</v>
      </c>
    </row>
    <row r="354" spans="1:1" x14ac:dyDescent="0.3">
      <c r="A354" s="4">
        <v>106</v>
      </c>
    </row>
    <row r="355" spans="1:1" x14ac:dyDescent="0.3">
      <c r="A355" s="4">
        <v>206</v>
      </c>
    </row>
    <row r="356" spans="1:1" x14ac:dyDescent="0.3">
      <c r="A356" s="4">
        <v>275</v>
      </c>
    </row>
    <row r="357" spans="1:1" x14ac:dyDescent="0.3">
      <c r="A357" s="4">
        <v>204</v>
      </c>
    </row>
    <row r="358" spans="1:1" x14ac:dyDescent="0.3">
      <c r="A358" s="4">
        <v>308</v>
      </c>
    </row>
    <row r="359" spans="1:1" x14ac:dyDescent="0.3">
      <c r="A359" s="4">
        <v>11</v>
      </c>
    </row>
    <row r="360" spans="1:1" x14ac:dyDescent="0.3">
      <c r="A360" s="4">
        <v>117</v>
      </c>
    </row>
    <row r="361" spans="1:1" x14ac:dyDescent="0.3">
      <c r="A361" s="4">
        <v>57</v>
      </c>
    </row>
    <row r="362" spans="1:1" x14ac:dyDescent="0.3">
      <c r="A362" s="4">
        <v>39</v>
      </c>
    </row>
    <row r="363" spans="1:1" x14ac:dyDescent="0.3">
      <c r="A363" s="4">
        <v>359</v>
      </c>
    </row>
    <row r="364" spans="1:1" x14ac:dyDescent="0.3">
      <c r="A364" s="4">
        <v>119</v>
      </c>
    </row>
    <row r="365" spans="1:1" x14ac:dyDescent="0.3">
      <c r="A365" s="4">
        <v>195</v>
      </c>
    </row>
    <row r="366" spans="1:1" x14ac:dyDescent="0.3">
      <c r="A366" s="4">
        <v>132</v>
      </c>
    </row>
    <row r="367" spans="1:1" x14ac:dyDescent="0.3">
      <c r="A367" s="4">
        <v>235</v>
      </c>
    </row>
    <row r="368" spans="1:1" x14ac:dyDescent="0.3">
      <c r="A368" s="4">
        <v>61</v>
      </c>
    </row>
    <row r="369" spans="1:1" x14ac:dyDescent="0.3">
      <c r="A369" s="4">
        <v>44</v>
      </c>
    </row>
    <row r="370" spans="1:1" x14ac:dyDescent="0.3">
      <c r="A370" s="4">
        <v>53</v>
      </c>
    </row>
    <row r="371" spans="1:1" x14ac:dyDescent="0.3">
      <c r="A371" s="4">
        <v>21</v>
      </c>
    </row>
    <row r="372" spans="1:1" x14ac:dyDescent="0.3">
      <c r="A372" s="4">
        <v>179</v>
      </c>
    </row>
    <row r="373" spans="1:1" x14ac:dyDescent="0.3">
      <c r="A373" s="4">
        <v>35</v>
      </c>
    </row>
    <row r="374" spans="1:1" x14ac:dyDescent="0.3">
      <c r="A374" s="4">
        <v>320</v>
      </c>
    </row>
    <row r="375" spans="1:1" x14ac:dyDescent="0.3">
      <c r="A375" s="4">
        <v>238</v>
      </c>
    </row>
    <row r="376" spans="1:1" x14ac:dyDescent="0.3">
      <c r="A376" s="4">
        <v>49</v>
      </c>
    </row>
    <row r="377" spans="1:1" x14ac:dyDescent="0.3">
      <c r="A377" s="4">
        <v>64</v>
      </c>
    </row>
    <row r="378" spans="1:1" x14ac:dyDescent="0.3">
      <c r="A378" s="4">
        <v>60</v>
      </c>
    </row>
    <row r="379" spans="1:1" x14ac:dyDescent="0.3">
      <c r="A379" s="4">
        <v>269</v>
      </c>
    </row>
    <row r="380" spans="1:1" x14ac:dyDescent="0.3">
      <c r="A380" s="4">
        <v>18</v>
      </c>
    </row>
    <row r="381" spans="1:1" x14ac:dyDescent="0.3">
      <c r="A381" s="4">
        <v>102</v>
      </c>
    </row>
    <row r="382" spans="1:1" x14ac:dyDescent="0.3">
      <c r="A382" s="4">
        <v>96</v>
      </c>
    </row>
    <row r="383" spans="1:1" x14ac:dyDescent="0.3">
      <c r="A383" s="4">
        <v>330</v>
      </c>
    </row>
    <row r="384" spans="1:1" x14ac:dyDescent="0.3">
      <c r="A384" s="4">
        <v>41</v>
      </c>
    </row>
    <row r="385" spans="1:1" x14ac:dyDescent="0.3">
      <c r="A385" s="4">
        <v>42</v>
      </c>
    </row>
    <row r="386" spans="1:1" x14ac:dyDescent="0.3">
      <c r="A386" s="4">
        <v>246</v>
      </c>
    </row>
    <row r="387" spans="1:1" x14ac:dyDescent="0.3">
      <c r="A387" s="4">
        <v>57</v>
      </c>
    </row>
    <row r="388" spans="1:1" x14ac:dyDescent="0.3">
      <c r="A388" s="4">
        <v>299</v>
      </c>
    </row>
    <row r="389" spans="1:1" x14ac:dyDescent="0.3">
      <c r="A389" s="4">
        <v>59</v>
      </c>
    </row>
    <row r="390" spans="1:1" x14ac:dyDescent="0.3">
      <c r="A390" s="4">
        <v>14</v>
      </c>
    </row>
    <row r="391" spans="1:1" x14ac:dyDescent="0.3">
      <c r="A391" s="4">
        <v>11</v>
      </c>
    </row>
    <row r="392" spans="1:1" x14ac:dyDescent="0.3">
      <c r="A392" s="4">
        <v>43</v>
      </c>
    </row>
    <row r="393" spans="1:1" x14ac:dyDescent="0.3">
      <c r="A393" s="4">
        <v>71</v>
      </c>
    </row>
    <row r="394" spans="1:1" x14ac:dyDescent="0.3">
      <c r="A394" s="4">
        <v>112</v>
      </c>
    </row>
    <row r="395" spans="1:1" x14ac:dyDescent="0.3">
      <c r="A395" s="4">
        <v>282</v>
      </c>
    </row>
    <row r="396" spans="1:1" x14ac:dyDescent="0.3">
      <c r="A396" s="4">
        <v>140</v>
      </c>
    </row>
    <row r="397" spans="1:1" x14ac:dyDescent="0.3">
      <c r="A397" s="4">
        <v>212</v>
      </c>
    </row>
    <row r="398" spans="1:1" x14ac:dyDescent="0.3">
      <c r="A398" s="4">
        <v>254</v>
      </c>
    </row>
    <row r="399" spans="1:1" x14ac:dyDescent="0.3">
      <c r="A399" s="4">
        <v>208</v>
      </c>
    </row>
    <row r="400" spans="1:1" x14ac:dyDescent="0.3">
      <c r="A400" s="4">
        <v>167</v>
      </c>
    </row>
    <row r="401" spans="1:1" x14ac:dyDescent="0.3">
      <c r="A401" s="4">
        <v>68</v>
      </c>
    </row>
    <row r="402" spans="1:1" x14ac:dyDescent="0.3">
      <c r="A402" s="4">
        <v>161</v>
      </c>
    </row>
    <row r="403" spans="1:1" x14ac:dyDescent="0.3">
      <c r="A403" s="4">
        <v>66</v>
      </c>
    </row>
    <row r="404" spans="1:1" x14ac:dyDescent="0.3">
      <c r="A404" s="4">
        <v>17</v>
      </c>
    </row>
    <row r="405" spans="1:1" x14ac:dyDescent="0.3">
      <c r="A405" s="4">
        <v>116</v>
      </c>
    </row>
    <row r="406" spans="1:1" x14ac:dyDescent="0.3">
      <c r="A406" s="4">
        <v>257</v>
      </c>
    </row>
    <row r="407" spans="1:1" x14ac:dyDescent="0.3">
      <c r="A407" s="4">
        <v>43</v>
      </c>
    </row>
    <row r="408" spans="1:1" x14ac:dyDescent="0.3">
      <c r="A408" s="4">
        <v>364</v>
      </c>
    </row>
    <row r="409" spans="1:1" x14ac:dyDescent="0.3">
      <c r="A409" s="4">
        <v>38</v>
      </c>
    </row>
    <row r="410" spans="1:1" x14ac:dyDescent="0.3">
      <c r="A410" s="4">
        <v>33</v>
      </c>
    </row>
    <row r="411" spans="1:1" x14ac:dyDescent="0.3">
      <c r="A411" s="4">
        <v>106</v>
      </c>
    </row>
    <row r="412" spans="1:1" x14ac:dyDescent="0.3">
      <c r="A412" s="4">
        <v>161</v>
      </c>
    </row>
    <row r="413" spans="1:1" x14ac:dyDescent="0.3">
      <c r="A413" s="4">
        <v>136</v>
      </c>
    </row>
    <row r="414" spans="1:1" x14ac:dyDescent="0.3">
      <c r="A414" s="4">
        <v>145</v>
      </c>
    </row>
    <row r="415" spans="1:1" x14ac:dyDescent="0.3">
      <c r="A415" s="4">
        <v>32</v>
      </c>
    </row>
    <row r="416" spans="1:1" x14ac:dyDescent="0.3">
      <c r="A416" s="4">
        <v>285</v>
      </c>
    </row>
    <row r="417" spans="1:1" x14ac:dyDescent="0.3">
      <c r="A417" s="4">
        <v>164</v>
      </c>
    </row>
    <row r="418" spans="1:1" x14ac:dyDescent="0.3">
      <c r="A418" s="4">
        <v>322</v>
      </c>
    </row>
    <row r="419" spans="1:1" x14ac:dyDescent="0.3">
      <c r="A419" s="4">
        <v>14</v>
      </c>
    </row>
    <row r="420" spans="1:1" x14ac:dyDescent="0.3">
      <c r="A420" s="4">
        <v>111</v>
      </c>
    </row>
    <row r="421" spans="1:1" x14ac:dyDescent="0.3">
      <c r="A421" s="4">
        <v>27</v>
      </c>
    </row>
    <row r="422" spans="1:1" x14ac:dyDescent="0.3">
      <c r="A422" s="4">
        <v>10</v>
      </c>
    </row>
    <row r="423" spans="1:1" x14ac:dyDescent="0.3">
      <c r="A423" s="4">
        <v>277</v>
      </c>
    </row>
    <row r="424" spans="1:1" x14ac:dyDescent="0.3">
      <c r="A424" s="4">
        <v>33</v>
      </c>
    </row>
    <row r="425" spans="1:1" x14ac:dyDescent="0.3">
      <c r="A425" s="4">
        <v>36</v>
      </c>
    </row>
    <row r="426" spans="1:1" x14ac:dyDescent="0.3">
      <c r="A426" s="4">
        <v>37</v>
      </c>
    </row>
    <row r="427" spans="1:1" x14ac:dyDescent="0.3">
      <c r="A427" s="4">
        <v>83</v>
      </c>
    </row>
    <row r="428" spans="1:1" x14ac:dyDescent="0.3">
      <c r="A428" s="4">
        <v>20</v>
      </c>
    </row>
    <row r="429" spans="1:1" x14ac:dyDescent="0.3">
      <c r="A429" s="4">
        <v>254</v>
      </c>
    </row>
    <row r="430" spans="1:1" x14ac:dyDescent="0.3">
      <c r="A430" s="4">
        <v>232</v>
      </c>
    </row>
    <row r="431" spans="1:1" x14ac:dyDescent="0.3">
      <c r="A431" s="4">
        <v>159</v>
      </c>
    </row>
    <row r="432" spans="1:1" x14ac:dyDescent="0.3">
      <c r="A432" s="4">
        <v>60</v>
      </c>
    </row>
    <row r="433" spans="1:1" x14ac:dyDescent="0.3">
      <c r="A433" s="4">
        <v>128</v>
      </c>
    </row>
    <row r="434" spans="1:1" x14ac:dyDescent="0.3">
      <c r="A434" s="4">
        <v>30</v>
      </c>
    </row>
    <row r="435" spans="1:1" x14ac:dyDescent="0.3">
      <c r="A435" s="4">
        <v>9</v>
      </c>
    </row>
    <row r="436" spans="1:1" x14ac:dyDescent="0.3">
      <c r="A436" s="4">
        <v>137</v>
      </c>
    </row>
    <row r="437" spans="1:1" x14ac:dyDescent="0.3">
      <c r="A437" s="4">
        <v>65</v>
      </c>
    </row>
    <row r="438" spans="1:1" x14ac:dyDescent="0.3">
      <c r="A438" s="4">
        <v>105</v>
      </c>
    </row>
    <row r="439" spans="1:1" x14ac:dyDescent="0.3">
      <c r="A439" s="4">
        <v>48</v>
      </c>
    </row>
    <row r="440" spans="1:1" x14ac:dyDescent="0.3">
      <c r="A440" s="4">
        <v>181</v>
      </c>
    </row>
    <row r="441" spans="1:1" x14ac:dyDescent="0.3">
      <c r="A441" s="4">
        <v>80</v>
      </c>
    </row>
    <row r="442" spans="1:1" x14ac:dyDescent="0.3">
      <c r="A442" s="4">
        <v>65</v>
      </c>
    </row>
    <row r="443" spans="1:1" x14ac:dyDescent="0.3">
      <c r="A443" s="4">
        <v>58</v>
      </c>
    </row>
    <row r="444" spans="1:1" x14ac:dyDescent="0.3">
      <c r="A444" s="4">
        <v>45</v>
      </c>
    </row>
    <row r="445" spans="1:1" x14ac:dyDescent="0.3">
      <c r="A445" s="4">
        <v>17</v>
      </c>
    </row>
    <row r="446" spans="1:1" x14ac:dyDescent="0.3">
      <c r="A446" s="4">
        <v>80</v>
      </c>
    </row>
    <row r="447" spans="1:1" x14ac:dyDescent="0.3">
      <c r="A447" s="4">
        <v>266</v>
      </c>
    </row>
    <row r="448" spans="1:1" x14ac:dyDescent="0.3">
      <c r="A448" s="4">
        <v>96</v>
      </c>
    </row>
    <row r="449" spans="1:1" x14ac:dyDescent="0.3">
      <c r="A449" s="4">
        <v>231</v>
      </c>
    </row>
    <row r="450" spans="1:1" x14ac:dyDescent="0.3">
      <c r="A450" s="4">
        <v>248</v>
      </c>
    </row>
    <row r="451" spans="1:1" x14ac:dyDescent="0.3">
      <c r="A451" s="4">
        <v>162</v>
      </c>
    </row>
    <row r="452" spans="1:1" x14ac:dyDescent="0.3">
      <c r="A452" s="4">
        <v>236</v>
      </c>
    </row>
    <row r="453" spans="1:1" x14ac:dyDescent="0.3">
      <c r="A453" s="4">
        <v>41</v>
      </c>
    </row>
    <row r="454" spans="1:1" x14ac:dyDescent="0.3">
      <c r="A454" s="4">
        <v>50</v>
      </c>
    </row>
    <row r="455" spans="1:1" x14ac:dyDescent="0.3">
      <c r="A455" s="4">
        <v>108</v>
      </c>
    </row>
    <row r="456" spans="1:1" x14ac:dyDescent="0.3">
      <c r="A456" s="4">
        <v>358</v>
      </c>
    </row>
    <row r="457" spans="1:1" x14ac:dyDescent="0.3">
      <c r="A457" s="4">
        <v>96</v>
      </c>
    </row>
    <row r="458" spans="1:1" x14ac:dyDescent="0.3">
      <c r="A458" s="4">
        <v>349</v>
      </c>
    </row>
    <row r="459" spans="1:1" x14ac:dyDescent="0.3">
      <c r="A459" s="4">
        <v>217</v>
      </c>
    </row>
    <row r="460" spans="1:1" x14ac:dyDescent="0.3">
      <c r="A460" s="4">
        <v>183</v>
      </c>
    </row>
    <row r="461" spans="1:1" x14ac:dyDescent="0.3">
      <c r="A461" s="4">
        <v>20</v>
      </c>
    </row>
    <row r="462" spans="1:1" x14ac:dyDescent="0.3">
      <c r="A462" s="4">
        <v>74</v>
      </c>
    </row>
    <row r="463" spans="1:1" x14ac:dyDescent="0.3">
      <c r="A463" s="4">
        <v>71</v>
      </c>
    </row>
    <row r="464" spans="1:1" x14ac:dyDescent="0.3">
      <c r="A464" s="4">
        <v>315</v>
      </c>
    </row>
    <row r="465" spans="1:1" x14ac:dyDescent="0.3">
      <c r="A465" s="4">
        <v>30</v>
      </c>
    </row>
    <row r="466" spans="1:1" x14ac:dyDescent="0.3">
      <c r="A466" s="4">
        <v>107</v>
      </c>
    </row>
    <row r="467" spans="1:1" x14ac:dyDescent="0.3">
      <c r="A467" s="4">
        <v>267</v>
      </c>
    </row>
    <row r="468" spans="1:1" x14ac:dyDescent="0.3">
      <c r="A468" s="4">
        <v>32</v>
      </c>
    </row>
    <row r="469" spans="1:1" x14ac:dyDescent="0.3">
      <c r="A469" s="4">
        <v>344</v>
      </c>
    </row>
    <row r="470" spans="1:1" x14ac:dyDescent="0.3">
      <c r="A470" s="4">
        <v>194</v>
      </c>
    </row>
    <row r="471" spans="1:1" x14ac:dyDescent="0.3">
      <c r="A471" s="4">
        <v>416</v>
      </c>
    </row>
    <row r="472" spans="1:1" x14ac:dyDescent="0.3">
      <c r="A472" s="4">
        <v>52</v>
      </c>
    </row>
    <row r="473" spans="1:1" x14ac:dyDescent="0.3">
      <c r="A473" s="4">
        <v>243</v>
      </c>
    </row>
    <row r="474" spans="1:1" x14ac:dyDescent="0.3">
      <c r="A474" s="4">
        <v>144</v>
      </c>
    </row>
    <row r="475" spans="1:1" x14ac:dyDescent="0.3">
      <c r="A475" s="4">
        <v>74</v>
      </c>
    </row>
    <row r="476" spans="1:1" x14ac:dyDescent="0.3">
      <c r="A476" s="4">
        <v>102</v>
      </c>
    </row>
    <row r="477" spans="1:1" x14ac:dyDescent="0.3">
      <c r="A477" s="4">
        <v>254</v>
      </c>
    </row>
    <row r="478" spans="1:1" x14ac:dyDescent="0.3">
      <c r="A478" s="4">
        <v>456</v>
      </c>
    </row>
    <row r="479" spans="1:1" x14ac:dyDescent="0.3">
      <c r="A479" s="4">
        <v>41</v>
      </c>
    </row>
    <row r="480" spans="1:1" x14ac:dyDescent="0.3">
      <c r="A480" s="4">
        <v>157</v>
      </c>
    </row>
    <row r="481" spans="1:1" x14ac:dyDescent="0.3">
      <c r="A481" s="4">
        <v>170</v>
      </c>
    </row>
    <row r="482" spans="1:1" x14ac:dyDescent="0.3">
      <c r="A482" s="4">
        <v>351</v>
      </c>
    </row>
    <row r="483" spans="1:1" x14ac:dyDescent="0.3">
      <c r="A483" s="4">
        <v>169</v>
      </c>
    </row>
    <row r="484" spans="1:1" x14ac:dyDescent="0.3">
      <c r="A484" s="4">
        <v>415</v>
      </c>
    </row>
    <row r="485" spans="1:1" x14ac:dyDescent="0.3">
      <c r="A485" s="4">
        <v>52</v>
      </c>
    </row>
    <row r="486" spans="1:1" x14ac:dyDescent="0.3">
      <c r="A486" s="4">
        <v>85</v>
      </c>
    </row>
    <row r="487" spans="1:1" x14ac:dyDescent="0.3">
      <c r="A487" s="4">
        <v>108</v>
      </c>
    </row>
    <row r="488" spans="1:1" x14ac:dyDescent="0.3">
      <c r="A488" s="4">
        <v>214</v>
      </c>
    </row>
    <row r="489" spans="1:1" x14ac:dyDescent="0.3">
      <c r="A489" s="4">
        <v>79</v>
      </c>
    </row>
    <row r="490" spans="1:1" x14ac:dyDescent="0.3">
      <c r="A490" s="4">
        <v>42</v>
      </c>
    </row>
    <row r="491" spans="1:1" x14ac:dyDescent="0.3">
      <c r="A491" s="4">
        <v>170</v>
      </c>
    </row>
    <row r="492" spans="1:1" x14ac:dyDescent="0.3">
      <c r="A492" s="4">
        <v>186</v>
      </c>
    </row>
    <row r="493" spans="1:1" x14ac:dyDescent="0.3">
      <c r="A493" s="4">
        <v>264</v>
      </c>
    </row>
    <row r="494" spans="1:1" x14ac:dyDescent="0.3">
      <c r="A494" s="4">
        <v>238</v>
      </c>
    </row>
    <row r="495" spans="1:1" x14ac:dyDescent="0.3">
      <c r="A495" s="4">
        <v>45</v>
      </c>
    </row>
    <row r="496" spans="1:1" x14ac:dyDescent="0.3">
      <c r="A496" s="4">
        <v>167</v>
      </c>
    </row>
    <row r="497" spans="1:1" x14ac:dyDescent="0.3">
      <c r="A497" s="4">
        <v>364</v>
      </c>
    </row>
    <row r="498" spans="1:1" x14ac:dyDescent="0.3">
      <c r="A498" s="4">
        <v>20</v>
      </c>
    </row>
    <row r="499" spans="1:1" x14ac:dyDescent="0.3">
      <c r="A499" s="4">
        <v>42</v>
      </c>
    </row>
    <row r="500" spans="1:1" x14ac:dyDescent="0.3">
      <c r="A500" s="4">
        <v>18</v>
      </c>
    </row>
    <row r="501" spans="1:1" x14ac:dyDescent="0.3">
      <c r="A501" s="4">
        <v>32</v>
      </c>
    </row>
    <row r="502" spans="1:1" x14ac:dyDescent="0.3">
      <c r="A502" s="4">
        <v>113</v>
      </c>
    </row>
    <row r="503" spans="1:1" x14ac:dyDescent="0.3">
      <c r="A503" s="4">
        <v>82</v>
      </c>
    </row>
    <row r="504" spans="1:1" x14ac:dyDescent="0.3">
      <c r="A504" s="4">
        <v>318</v>
      </c>
    </row>
    <row r="505" spans="1:1" x14ac:dyDescent="0.3">
      <c r="A505" s="4">
        <v>12</v>
      </c>
    </row>
    <row r="506" spans="1:1" x14ac:dyDescent="0.3">
      <c r="A506" s="4">
        <v>31</v>
      </c>
    </row>
    <row r="507" spans="1:1" x14ac:dyDescent="0.3">
      <c r="A507" s="4">
        <v>62</v>
      </c>
    </row>
    <row r="508" spans="1:1" x14ac:dyDescent="0.3">
      <c r="A508" s="4">
        <v>31</v>
      </c>
    </row>
    <row r="509" spans="1:1" x14ac:dyDescent="0.3">
      <c r="A509" s="4">
        <v>327</v>
      </c>
    </row>
    <row r="510" spans="1:1" x14ac:dyDescent="0.3">
      <c r="A510" s="4">
        <v>40</v>
      </c>
    </row>
    <row r="511" spans="1:1" x14ac:dyDescent="0.3">
      <c r="A511" s="4">
        <v>140</v>
      </c>
    </row>
    <row r="512" spans="1:1" x14ac:dyDescent="0.3">
      <c r="A512" s="4">
        <v>231</v>
      </c>
    </row>
    <row r="513" spans="1:1" x14ac:dyDescent="0.3">
      <c r="A513" s="4">
        <v>193</v>
      </c>
    </row>
    <row r="514" spans="1:1" x14ac:dyDescent="0.3">
      <c r="A514" s="4">
        <v>21</v>
      </c>
    </row>
    <row r="515" spans="1:1" x14ac:dyDescent="0.3">
      <c r="A515" s="4">
        <v>239</v>
      </c>
    </row>
    <row r="516" spans="1:1" x14ac:dyDescent="0.3">
      <c r="A516" s="4">
        <v>190</v>
      </c>
    </row>
    <row r="517" spans="1:1" x14ac:dyDescent="0.3">
      <c r="A517" s="4">
        <v>132</v>
      </c>
    </row>
    <row r="518" spans="1:1" x14ac:dyDescent="0.3">
      <c r="A518" s="4">
        <v>222</v>
      </c>
    </row>
    <row r="519" spans="1:1" x14ac:dyDescent="0.3">
      <c r="A519" s="4">
        <v>200</v>
      </c>
    </row>
    <row r="520" spans="1:1" x14ac:dyDescent="0.3">
      <c r="A520" s="4">
        <v>247</v>
      </c>
    </row>
    <row r="521" spans="1:1" x14ac:dyDescent="0.3">
      <c r="A521" s="4">
        <v>256</v>
      </c>
    </row>
    <row r="522" spans="1:1" x14ac:dyDescent="0.3">
      <c r="A522" s="4">
        <v>110</v>
      </c>
    </row>
    <row r="523" spans="1:1" x14ac:dyDescent="0.3">
      <c r="A523" s="4">
        <v>204</v>
      </c>
    </row>
    <row r="524" spans="1:1" x14ac:dyDescent="0.3">
      <c r="A524" s="4">
        <v>24</v>
      </c>
    </row>
    <row r="525" spans="1:1" x14ac:dyDescent="0.3">
      <c r="A525" s="4">
        <v>160</v>
      </c>
    </row>
    <row r="526" spans="1:1" x14ac:dyDescent="0.3">
      <c r="A526" s="4">
        <v>154</v>
      </c>
    </row>
    <row r="527" spans="1:1" x14ac:dyDescent="0.3">
      <c r="A527" s="4">
        <v>303</v>
      </c>
    </row>
    <row r="528" spans="1:1" x14ac:dyDescent="0.3">
      <c r="A528" s="4">
        <v>233</v>
      </c>
    </row>
    <row r="529" spans="1:1" x14ac:dyDescent="0.3">
      <c r="A529" s="4">
        <v>43</v>
      </c>
    </row>
    <row r="530" spans="1:1" x14ac:dyDescent="0.3">
      <c r="A530" s="4">
        <v>27</v>
      </c>
    </row>
    <row r="531" spans="1:1" x14ac:dyDescent="0.3">
      <c r="A531" s="4">
        <v>143</v>
      </c>
    </row>
    <row r="532" spans="1:1" x14ac:dyDescent="0.3">
      <c r="A532" s="4">
        <v>258</v>
      </c>
    </row>
    <row r="533" spans="1:1" x14ac:dyDescent="0.3">
      <c r="A533" s="4">
        <v>59</v>
      </c>
    </row>
    <row r="534" spans="1:1" x14ac:dyDescent="0.3">
      <c r="A534" s="4">
        <v>146</v>
      </c>
    </row>
    <row r="535" spans="1:1" x14ac:dyDescent="0.3">
      <c r="A535" s="4">
        <v>52</v>
      </c>
    </row>
    <row r="536" spans="1:1" x14ac:dyDescent="0.3">
      <c r="A536" s="4">
        <v>210</v>
      </c>
    </row>
    <row r="537" spans="1:1" x14ac:dyDescent="0.3">
      <c r="A537" s="4">
        <v>43</v>
      </c>
    </row>
    <row r="538" spans="1:1" x14ac:dyDescent="0.3">
      <c r="A538" s="4">
        <v>191</v>
      </c>
    </row>
    <row r="539" spans="1:1" x14ac:dyDescent="0.3">
      <c r="A539" s="4">
        <v>187</v>
      </c>
    </row>
    <row r="540" spans="1:1" x14ac:dyDescent="0.3">
      <c r="A540" s="4">
        <v>222</v>
      </c>
    </row>
    <row r="541" spans="1:1" x14ac:dyDescent="0.3">
      <c r="A541" s="4">
        <v>119</v>
      </c>
    </row>
    <row r="542" spans="1:1" x14ac:dyDescent="0.3">
      <c r="A542" s="4">
        <v>65</v>
      </c>
    </row>
    <row r="543" spans="1:1" x14ac:dyDescent="0.3">
      <c r="A543" s="4">
        <v>237</v>
      </c>
    </row>
    <row r="544" spans="1:1" x14ac:dyDescent="0.3">
      <c r="A544" s="4">
        <v>84</v>
      </c>
    </row>
    <row r="545" spans="1:1" x14ac:dyDescent="0.3">
      <c r="A545" s="4">
        <v>333</v>
      </c>
    </row>
    <row r="546" spans="1:1" x14ac:dyDescent="0.3">
      <c r="A546" s="4">
        <v>161</v>
      </c>
    </row>
    <row r="547" spans="1:1" x14ac:dyDescent="0.3">
      <c r="A547" s="4">
        <v>71</v>
      </c>
    </row>
    <row r="548" spans="1:1" x14ac:dyDescent="0.3">
      <c r="A548" s="4">
        <v>252</v>
      </c>
    </row>
    <row r="549" spans="1:1" x14ac:dyDescent="0.3">
      <c r="A549" s="4">
        <v>77</v>
      </c>
    </row>
    <row r="550" spans="1:1" x14ac:dyDescent="0.3">
      <c r="A550" s="4">
        <v>291</v>
      </c>
    </row>
    <row r="551" spans="1:1" x14ac:dyDescent="0.3">
      <c r="A551" s="4">
        <v>55</v>
      </c>
    </row>
    <row r="552" spans="1:1" x14ac:dyDescent="0.3">
      <c r="A552" s="4">
        <v>422</v>
      </c>
    </row>
    <row r="553" spans="1:1" x14ac:dyDescent="0.3">
      <c r="A553" s="4">
        <v>302</v>
      </c>
    </row>
    <row r="554" spans="1:1" x14ac:dyDescent="0.3">
      <c r="A554" s="4">
        <v>109</v>
      </c>
    </row>
    <row r="555" spans="1:1" x14ac:dyDescent="0.3">
      <c r="A555" s="4">
        <v>40</v>
      </c>
    </row>
    <row r="556" spans="1:1" x14ac:dyDescent="0.3">
      <c r="A556" s="4">
        <v>254</v>
      </c>
    </row>
    <row r="557" spans="1:1" x14ac:dyDescent="0.3">
      <c r="A557" s="4">
        <v>21</v>
      </c>
    </row>
    <row r="558" spans="1:1" x14ac:dyDescent="0.3">
      <c r="A558" s="4">
        <v>133</v>
      </c>
    </row>
    <row r="559" spans="1:1" x14ac:dyDescent="0.3">
      <c r="A559" s="4">
        <v>68</v>
      </c>
    </row>
    <row r="560" spans="1:1" x14ac:dyDescent="0.3">
      <c r="A560" s="4">
        <v>183</v>
      </c>
    </row>
    <row r="561" spans="1:1" x14ac:dyDescent="0.3">
      <c r="A561" s="4">
        <v>62</v>
      </c>
    </row>
    <row r="562" spans="1:1" x14ac:dyDescent="0.3">
      <c r="A562" s="4">
        <v>135</v>
      </c>
    </row>
    <row r="563" spans="1:1" x14ac:dyDescent="0.3">
      <c r="A563" s="4">
        <v>192</v>
      </c>
    </row>
    <row r="564" spans="1:1" x14ac:dyDescent="0.3">
      <c r="A564" s="4">
        <v>93</v>
      </c>
    </row>
    <row r="565" spans="1:1" x14ac:dyDescent="0.3">
      <c r="A565" s="4">
        <v>28</v>
      </c>
    </row>
    <row r="566" spans="1:1" x14ac:dyDescent="0.3">
      <c r="A566" s="4">
        <v>259</v>
      </c>
    </row>
    <row r="567" spans="1:1" x14ac:dyDescent="0.3">
      <c r="A567" s="4">
        <v>103</v>
      </c>
    </row>
    <row r="568" spans="1:1" x14ac:dyDescent="0.3">
      <c r="A568" s="4">
        <v>75</v>
      </c>
    </row>
    <row r="569" spans="1:1" x14ac:dyDescent="0.3">
      <c r="A569" s="4">
        <v>48</v>
      </c>
    </row>
    <row r="570" spans="1:1" x14ac:dyDescent="0.3">
      <c r="A570" s="4">
        <v>77</v>
      </c>
    </row>
    <row r="571" spans="1:1" x14ac:dyDescent="0.3">
      <c r="A571" s="4">
        <v>38</v>
      </c>
    </row>
    <row r="572" spans="1:1" x14ac:dyDescent="0.3">
      <c r="A572" s="4">
        <v>19</v>
      </c>
    </row>
    <row r="573" spans="1:1" x14ac:dyDescent="0.3">
      <c r="A573" s="4">
        <v>171</v>
      </c>
    </row>
    <row r="574" spans="1:1" x14ac:dyDescent="0.3">
      <c r="A574" s="4">
        <v>276</v>
      </c>
    </row>
    <row r="575" spans="1:1" x14ac:dyDescent="0.3">
      <c r="A575" s="4">
        <v>31</v>
      </c>
    </row>
    <row r="576" spans="1:1" x14ac:dyDescent="0.3">
      <c r="A576" s="4">
        <v>6</v>
      </c>
    </row>
    <row r="577" spans="1:1" x14ac:dyDescent="0.3">
      <c r="A577" s="4">
        <v>174</v>
      </c>
    </row>
    <row r="578" spans="1:1" x14ac:dyDescent="0.3">
      <c r="A578" s="4">
        <v>87</v>
      </c>
    </row>
    <row r="579" spans="1:1" x14ac:dyDescent="0.3">
      <c r="A579" s="4">
        <v>71</v>
      </c>
    </row>
    <row r="580" spans="1:1" x14ac:dyDescent="0.3">
      <c r="A580" s="4">
        <v>189</v>
      </c>
    </row>
    <row r="581" spans="1:1" x14ac:dyDescent="0.3">
      <c r="A581" s="4">
        <v>61</v>
      </c>
    </row>
    <row r="582" spans="1:1" x14ac:dyDescent="0.3">
      <c r="A582" s="4">
        <v>230</v>
      </c>
    </row>
    <row r="583" spans="1:1" x14ac:dyDescent="0.3">
      <c r="A583" s="4">
        <v>146</v>
      </c>
    </row>
    <row r="584" spans="1:1" x14ac:dyDescent="0.3">
      <c r="A584" s="4">
        <v>58</v>
      </c>
    </row>
    <row r="585" spans="1:1" x14ac:dyDescent="0.3">
      <c r="A585" s="4">
        <v>115</v>
      </c>
    </row>
    <row r="586" spans="1:1" x14ac:dyDescent="0.3">
      <c r="A586" s="4">
        <v>166</v>
      </c>
    </row>
    <row r="587" spans="1:1" x14ac:dyDescent="0.3">
      <c r="A587" s="4">
        <v>177</v>
      </c>
    </row>
    <row r="588" spans="1:1" x14ac:dyDescent="0.3">
      <c r="A588" s="4">
        <v>34</v>
      </c>
    </row>
    <row r="589" spans="1:1" x14ac:dyDescent="0.3">
      <c r="A589" s="4">
        <v>106</v>
      </c>
    </row>
    <row r="590" spans="1:1" x14ac:dyDescent="0.3">
      <c r="A590" s="4">
        <v>390</v>
      </c>
    </row>
    <row r="591" spans="1:1" x14ac:dyDescent="0.3">
      <c r="A591" s="4">
        <v>85</v>
      </c>
    </row>
    <row r="592" spans="1:1" x14ac:dyDescent="0.3">
      <c r="A592" s="4">
        <v>42</v>
      </c>
    </row>
    <row r="593" spans="1:1" x14ac:dyDescent="0.3">
      <c r="A593" s="4">
        <v>164</v>
      </c>
    </row>
    <row r="594" spans="1:1" x14ac:dyDescent="0.3">
      <c r="A594" s="4">
        <v>262</v>
      </c>
    </row>
    <row r="595" spans="1:1" x14ac:dyDescent="0.3">
      <c r="A595" s="4">
        <v>54</v>
      </c>
    </row>
    <row r="596" spans="1:1" x14ac:dyDescent="0.3">
      <c r="A596" s="4">
        <v>165</v>
      </c>
    </row>
    <row r="597" spans="1:1" x14ac:dyDescent="0.3">
      <c r="A597" s="4">
        <v>86</v>
      </c>
    </row>
    <row r="598" spans="1:1" x14ac:dyDescent="0.3">
      <c r="A598" s="4">
        <v>121</v>
      </c>
    </row>
    <row r="599" spans="1:1" x14ac:dyDescent="0.3">
      <c r="A599" s="4">
        <v>21</v>
      </c>
    </row>
    <row r="600" spans="1:1" x14ac:dyDescent="0.3">
      <c r="A600" s="4">
        <v>73</v>
      </c>
    </row>
    <row r="601" spans="1:1" x14ac:dyDescent="0.3">
      <c r="A601" s="4">
        <v>112</v>
      </c>
    </row>
    <row r="602" spans="1:1" x14ac:dyDescent="0.3">
      <c r="A602" s="4">
        <v>92</v>
      </c>
    </row>
    <row r="603" spans="1:1" x14ac:dyDescent="0.3">
      <c r="A603" s="4">
        <v>66</v>
      </c>
    </row>
    <row r="604" spans="1:1" x14ac:dyDescent="0.3">
      <c r="A604" s="4">
        <v>279</v>
      </c>
    </row>
    <row r="605" spans="1:1" x14ac:dyDescent="0.3">
      <c r="A605" s="4">
        <v>239</v>
      </c>
    </row>
    <row r="606" spans="1:1" x14ac:dyDescent="0.3">
      <c r="A606" s="4">
        <v>48</v>
      </c>
    </row>
    <row r="607" spans="1:1" x14ac:dyDescent="0.3">
      <c r="A607" s="4">
        <v>177</v>
      </c>
    </row>
    <row r="608" spans="1:1" x14ac:dyDescent="0.3">
      <c r="A608" s="4">
        <v>55</v>
      </c>
    </row>
    <row r="609" spans="1:1" x14ac:dyDescent="0.3">
      <c r="A609" s="4">
        <v>333</v>
      </c>
    </row>
    <row r="610" spans="1:1" x14ac:dyDescent="0.3">
      <c r="A610" s="4">
        <v>96</v>
      </c>
    </row>
    <row r="611" spans="1:1" x14ac:dyDescent="0.3">
      <c r="A611" s="4">
        <v>67</v>
      </c>
    </row>
    <row r="612" spans="1:1" x14ac:dyDescent="0.3">
      <c r="A612" s="4">
        <v>44</v>
      </c>
    </row>
    <row r="613" spans="1:1" x14ac:dyDescent="0.3">
      <c r="A613" s="4">
        <v>71</v>
      </c>
    </row>
    <row r="614" spans="1:1" x14ac:dyDescent="0.3">
      <c r="A614" s="4">
        <v>53</v>
      </c>
    </row>
    <row r="615" spans="1:1" x14ac:dyDescent="0.3">
      <c r="A615" s="4">
        <v>52</v>
      </c>
    </row>
    <row r="616" spans="1:1" x14ac:dyDescent="0.3">
      <c r="A616" s="4">
        <v>10</v>
      </c>
    </row>
    <row r="617" spans="1:1" x14ac:dyDescent="0.3">
      <c r="A617" s="4">
        <v>64</v>
      </c>
    </row>
    <row r="618" spans="1:1" x14ac:dyDescent="0.3">
      <c r="A618" s="4">
        <v>45</v>
      </c>
    </row>
    <row r="619" spans="1:1" x14ac:dyDescent="0.3">
      <c r="A619" s="4">
        <v>95</v>
      </c>
    </row>
    <row r="620" spans="1:1" x14ac:dyDescent="0.3">
      <c r="A620" s="4">
        <v>6</v>
      </c>
    </row>
    <row r="621" spans="1:1" x14ac:dyDescent="0.3">
      <c r="A621" s="4">
        <v>101</v>
      </c>
    </row>
    <row r="622" spans="1:1" x14ac:dyDescent="0.3">
      <c r="A622" s="4">
        <v>210</v>
      </c>
    </row>
    <row r="623" spans="1:1" x14ac:dyDescent="0.3">
      <c r="A623" s="4">
        <v>290</v>
      </c>
    </row>
    <row r="624" spans="1:1" x14ac:dyDescent="0.3">
      <c r="A624" s="4">
        <v>162</v>
      </c>
    </row>
    <row r="625" spans="1:1" x14ac:dyDescent="0.3">
      <c r="A625" s="4">
        <v>43</v>
      </c>
    </row>
    <row r="626" spans="1:1" x14ac:dyDescent="0.3">
      <c r="A626" s="4">
        <v>156</v>
      </c>
    </row>
    <row r="627" spans="1:1" x14ac:dyDescent="0.3">
      <c r="A627" s="4">
        <v>284</v>
      </c>
    </row>
    <row r="628" spans="1:1" x14ac:dyDescent="0.3">
      <c r="A628" s="4">
        <v>42</v>
      </c>
    </row>
    <row r="629" spans="1:1" x14ac:dyDescent="0.3">
      <c r="A629" s="4">
        <v>81</v>
      </c>
    </row>
    <row r="630" spans="1:1" x14ac:dyDescent="0.3">
      <c r="A630" s="4">
        <v>266</v>
      </c>
    </row>
    <row r="631" spans="1:1" x14ac:dyDescent="0.3">
      <c r="A631" s="4">
        <v>106</v>
      </c>
    </row>
    <row r="632" spans="1:1" x14ac:dyDescent="0.3">
      <c r="A632" s="4">
        <v>72</v>
      </c>
    </row>
    <row r="633" spans="1:1" x14ac:dyDescent="0.3">
      <c r="A633" s="4">
        <v>148</v>
      </c>
    </row>
    <row r="634" spans="1:1" x14ac:dyDescent="0.3">
      <c r="A634" s="4">
        <v>349</v>
      </c>
    </row>
    <row r="635" spans="1:1" x14ac:dyDescent="0.3">
      <c r="A635" s="4">
        <v>171</v>
      </c>
    </row>
    <row r="636" spans="1:1" x14ac:dyDescent="0.3">
      <c r="A636" s="4">
        <v>102</v>
      </c>
    </row>
    <row r="637" spans="1:1" x14ac:dyDescent="0.3">
      <c r="A637" s="4">
        <v>25</v>
      </c>
    </row>
    <row r="638" spans="1:1" x14ac:dyDescent="0.3">
      <c r="A638" s="4">
        <v>95</v>
      </c>
    </row>
    <row r="639" spans="1:1" x14ac:dyDescent="0.3">
      <c r="A639" s="4">
        <v>354</v>
      </c>
    </row>
    <row r="640" spans="1:1" x14ac:dyDescent="0.3">
      <c r="A640" s="4">
        <v>81</v>
      </c>
    </row>
    <row r="641" spans="1:1" x14ac:dyDescent="0.3">
      <c r="A641" s="4">
        <v>147</v>
      </c>
    </row>
    <row r="642" spans="1:1" x14ac:dyDescent="0.3">
      <c r="A642" s="4">
        <v>336</v>
      </c>
    </row>
    <row r="643" spans="1:1" x14ac:dyDescent="0.3">
      <c r="A643" s="4">
        <v>332</v>
      </c>
    </row>
    <row r="644" spans="1:1" x14ac:dyDescent="0.3">
      <c r="A644" s="4">
        <v>167</v>
      </c>
    </row>
    <row r="645" spans="1:1" x14ac:dyDescent="0.3">
      <c r="A645" s="4">
        <v>64</v>
      </c>
    </row>
    <row r="646" spans="1:1" x14ac:dyDescent="0.3">
      <c r="A646" s="4">
        <v>61</v>
      </c>
    </row>
    <row r="647" spans="1:1" x14ac:dyDescent="0.3">
      <c r="A647" s="4">
        <v>357</v>
      </c>
    </row>
    <row r="648" spans="1:1" x14ac:dyDescent="0.3">
      <c r="A648" s="4">
        <v>10</v>
      </c>
    </row>
    <row r="649" spans="1:1" x14ac:dyDescent="0.3">
      <c r="A649" s="4">
        <v>23</v>
      </c>
    </row>
    <row r="650" spans="1:1" x14ac:dyDescent="0.3">
      <c r="A650" s="4">
        <v>89</v>
      </c>
    </row>
    <row r="651" spans="1:1" x14ac:dyDescent="0.3">
      <c r="A651" s="4">
        <v>31</v>
      </c>
    </row>
    <row r="652" spans="1:1" x14ac:dyDescent="0.3">
      <c r="A652" s="4">
        <v>25</v>
      </c>
    </row>
    <row r="653" spans="1:1" x14ac:dyDescent="0.3">
      <c r="A653" s="4">
        <v>120</v>
      </c>
    </row>
    <row r="654" spans="1:1" x14ac:dyDescent="0.3">
      <c r="A654" s="4">
        <v>295</v>
      </c>
    </row>
    <row r="655" spans="1:1" x14ac:dyDescent="0.3">
      <c r="A655" s="4">
        <v>108</v>
      </c>
    </row>
    <row r="656" spans="1:1" x14ac:dyDescent="0.3">
      <c r="A656" s="4">
        <v>37</v>
      </c>
    </row>
    <row r="657" spans="1:1" x14ac:dyDescent="0.3">
      <c r="A657" s="4">
        <v>84</v>
      </c>
    </row>
    <row r="658" spans="1:1" x14ac:dyDescent="0.3">
      <c r="A658" s="4">
        <v>159</v>
      </c>
    </row>
    <row r="659" spans="1:1" x14ac:dyDescent="0.3">
      <c r="A659" s="4">
        <v>220</v>
      </c>
    </row>
    <row r="660" spans="1:1" x14ac:dyDescent="0.3">
      <c r="A660" s="4">
        <v>111</v>
      </c>
    </row>
    <row r="661" spans="1:1" x14ac:dyDescent="0.3">
      <c r="A661" s="4">
        <v>161</v>
      </c>
    </row>
    <row r="662" spans="1:1" x14ac:dyDescent="0.3">
      <c r="A662" s="4">
        <v>68</v>
      </c>
    </row>
    <row r="663" spans="1:1" x14ac:dyDescent="0.3">
      <c r="A663" s="4">
        <v>134</v>
      </c>
    </row>
    <row r="664" spans="1:1" x14ac:dyDescent="0.3">
      <c r="A664" s="4">
        <v>110</v>
      </c>
    </row>
    <row r="665" spans="1:1" x14ac:dyDescent="0.3">
      <c r="A665" s="4">
        <v>328</v>
      </c>
    </row>
    <row r="666" spans="1:1" x14ac:dyDescent="0.3">
      <c r="A666" s="4">
        <v>102</v>
      </c>
    </row>
    <row r="667" spans="1:1" x14ac:dyDescent="0.3">
      <c r="A667" s="4">
        <v>90</v>
      </c>
    </row>
    <row r="668" spans="1:1" x14ac:dyDescent="0.3">
      <c r="A668" s="4">
        <v>28</v>
      </c>
    </row>
    <row r="669" spans="1:1" x14ac:dyDescent="0.3">
      <c r="A669" s="4">
        <v>128</v>
      </c>
    </row>
    <row r="670" spans="1:1" x14ac:dyDescent="0.3">
      <c r="A670" s="4">
        <v>13</v>
      </c>
    </row>
    <row r="671" spans="1:1" x14ac:dyDescent="0.3">
      <c r="A671" s="4">
        <v>41</v>
      </c>
    </row>
    <row r="672" spans="1:1" x14ac:dyDescent="0.3">
      <c r="A672" s="4">
        <v>45</v>
      </c>
    </row>
    <row r="673" spans="1:1" x14ac:dyDescent="0.3">
      <c r="A673" s="4">
        <v>139</v>
      </c>
    </row>
    <row r="674" spans="1:1" x14ac:dyDescent="0.3">
      <c r="A674" s="4">
        <v>151</v>
      </c>
    </row>
    <row r="675" spans="1:1" x14ac:dyDescent="0.3">
      <c r="A675" s="4">
        <v>432</v>
      </c>
    </row>
    <row r="676" spans="1:1" x14ac:dyDescent="0.3">
      <c r="A676" s="4">
        <v>185</v>
      </c>
    </row>
    <row r="677" spans="1:1" x14ac:dyDescent="0.3">
      <c r="A677" s="4">
        <v>357</v>
      </c>
    </row>
    <row r="678" spans="1:1" x14ac:dyDescent="0.3">
      <c r="A678" s="4">
        <v>397</v>
      </c>
    </row>
    <row r="679" spans="1:1" x14ac:dyDescent="0.3">
      <c r="A679" s="4">
        <v>293</v>
      </c>
    </row>
    <row r="680" spans="1:1" x14ac:dyDescent="0.3">
      <c r="A680" s="4">
        <v>143</v>
      </c>
    </row>
    <row r="681" spans="1:1" x14ac:dyDescent="0.3">
      <c r="A681" s="4">
        <v>147</v>
      </c>
    </row>
    <row r="682" spans="1:1" x14ac:dyDescent="0.3">
      <c r="A682" s="4">
        <v>214</v>
      </c>
    </row>
    <row r="683" spans="1:1" x14ac:dyDescent="0.3">
      <c r="A683" s="4">
        <v>67</v>
      </c>
    </row>
    <row r="684" spans="1:1" x14ac:dyDescent="0.3">
      <c r="A684" s="4">
        <v>205</v>
      </c>
    </row>
    <row r="685" spans="1:1" x14ac:dyDescent="0.3">
      <c r="A685" s="4">
        <v>237</v>
      </c>
    </row>
    <row r="686" spans="1:1" x14ac:dyDescent="0.3">
      <c r="A686" s="4">
        <v>204</v>
      </c>
    </row>
    <row r="687" spans="1:1" x14ac:dyDescent="0.3">
      <c r="A687" s="4">
        <v>27</v>
      </c>
    </row>
    <row r="688" spans="1:1" x14ac:dyDescent="0.3">
      <c r="A688" s="4">
        <v>104</v>
      </c>
    </row>
    <row r="689" spans="1:1" x14ac:dyDescent="0.3">
      <c r="A689" s="4">
        <v>243</v>
      </c>
    </row>
    <row r="690" spans="1:1" x14ac:dyDescent="0.3">
      <c r="A690" s="4">
        <v>7</v>
      </c>
    </row>
    <row r="691" spans="1:1" x14ac:dyDescent="0.3">
      <c r="A691" s="4">
        <v>154</v>
      </c>
    </row>
    <row r="692" spans="1:1" x14ac:dyDescent="0.3">
      <c r="A692" s="4">
        <v>99</v>
      </c>
    </row>
    <row r="693" spans="1:1" x14ac:dyDescent="0.3">
      <c r="A693" s="4">
        <v>378</v>
      </c>
    </row>
    <row r="694" spans="1:1" x14ac:dyDescent="0.3">
      <c r="A694" s="4">
        <v>75</v>
      </c>
    </row>
    <row r="695" spans="1:1" x14ac:dyDescent="0.3">
      <c r="A695" s="4">
        <v>72</v>
      </c>
    </row>
    <row r="696" spans="1:1" x14ac:dyDescent="0.3">
      <c r="A696" s="4">
        <v>238</v>
      </c>
    </row>
    <row r="697" spans="1:1" x14ac:dyDescent="0.3">
      <c r="A697" s="4">
        <v>73</v>
      </c>
    </row>
    <row r="698" spans="1:1" x14ac:dyDescent="0.3">
      <c r="A698" s="4">
        <v>332</v>
      </c>
    </row>
    <row r="699" spans="1:1" x14ac:dyDescent="0.3">
      <c r="A699" s="4">
        <v>100</v>
      </c>
    </row>
    <row r="700" spans="1:1" x14ac:dyDescent="0.3">
      <c r="A700" s="4">
        <v>15</v>
      </c>
    </row>
    <row r="701" spans="1:1" x14ac:dyDescent="0.3">
      <c r="A701" s="4">
        <v>181</v>
      </c>
    </row>
    <row r="702" spans="1:1" x14ac:dyDescent="0.3">
      <c r="A702" s="4">
        <v>37</v>
      </c>
    </row>
    <row r="703" spans="1:1" x14ac:dyDescent="0.3">
      <c r="A703" s="4">
        <v>70</v>
      </c>
    </row>
    <row r="704" spans="1:1" x14ac:dyDescent="0.3">
      <c r="A704" s="4">
        <v>107</v>
      </c>
    </row>
    <row r="705" spans="1:1" x14ac:dyDescent="0.3">
      <c r="A705" s="4">
        <v>28</v>
      </c>
    </row>
    <row r="706" spans="1:1" x14ac:dyDescent="0.3">
      <c r="A706" s="4">
        <v>156</v>
      </c>
    </row>
    <row r="707" spans="1:1" x14ac:dyDescent="0.3">
      <c r="A707" s="4">
        <v>46</v>
      </c>
    </row>
    <row r="708" spans="1:1" x14ac:dyDescent="0.3">
      <c r="A708" s="4">
        <v>231</v>
      </c>
    </row>
    <row r="709" spans="1:1" x14ac:dyDescent="0.3">
      <c r="A709" s="4">
        <v>189</v>
      </c>
    </row>
    <row r="710" spans="1:1" x14ac:dyDescent="0.3">
      <c r="A710" s="4">
        <v>185</v>
      </c>
    </row>
    <row r="711" spans="1:1" x14ac:dyDescent="0.3">
      <c r="A711" s="4">
        <v>29</v>
      </c>
    </row>
    <row r="712" spans="1:1" x14ac:dyDescent="0.3">
      <c r="A712" s="4">
        <v>46</v>
      </c>
    </row>
    <row r="713" spans="1:1" x14ac:dyDescent="0.3">
      <c r="A713" s="4">
        <v>58</v>
      </c>
    </row>
    <row r="714" spans="1:1" x14ac:dyDescent="0.3">
      <c r="A714" s="4">
        <v>276</v>
      </c>
    </row>
    <row r="715" spans="1:1" x14ac:dyDescent="0.3">
      <c r="A715" s="4">
        <v>61</v>
      </c>
    </row>
    <row r="716" spans="1:1" x14ac:dyDescent="0.3">
      <c r="A716" s="4">
        <v>31</v>
      </c>
    </row>
    <row r="717" spans="1:1" x14ac:dyDescent="0.3">
      <c r="A717" s="4">
        <v>299</v>
      </c>
    </row>
    <row r="718" spans="1:1" x14ac:dyDescent="0.3">
      <c r="A718" s="4">
        <v>27</v>
      </c>
    </row>
    <row r="719" spans="1:1" x14ac:dyDescent="0.3">
      <c r="A719" s="4">
        <v>285</v>
      </c>
    </row>
    <row r="720" spans="1:1" x14ac:dyDescent="0.3">
      <c r="A720" s="4">
        <v>114</v>
      </c>
    </row>
    <row r="721" spans="1:1" x14ac:dyDescent="0.3">
      <c r="A721" s="4">
        <v>90</v>
      </c>
    </row>
    <row r="722" spans="1:1" x14ac:dyDescent="0.3">
      <c r="A722" s="4">
        <v>12</v>
      </c>
    </row>
    <row r="723" spans="1:1" x14ac:dyDescent="0.3">
      <c r="A723" s="4">
        <v>463</v>
      </c>
    </row>
    <row r="724" spans="1:1" x14ac:dyDescent="0.3">
      <c r="A724" s="4">
        <v>231</v>
      </c>
    </row>
    <row r="725" spans="1:1" x14ac:dyDescent="0.3">
      <c r="A725" s="4">
        <v>54</v>
      </c>
    </row>
    <row r="726" spans="1:1" x14ac:dyDescent="0.3">
      <c r="A726" s="4">
        <v>74</v>
      </c>
    </row>
    <row r="727" spans="1:1" x14ac:dyDescent="0.3">
      <c r="A727" s="4">
        <v>181</v>
      </c>
    </row>
    <row r="728" spans="1:1" x14ac:dyDescent="0.3">
      <c r="A728" s="4">
        <v>141</v>
      </c>
    </row>
    <row r="729" spans="1:1" x14ac:dyDescent="0.3">
      <c r="A729" s="4">
        <v>116</v>
      </c>
    </row>
    <row r="730" spans="1:1" x14ac:dyDescent="0.3">
      <c r="A730" s="4">
        <v>300</v>
      </c>
    </row>
    <row r="731" spans="1:1" x14ac:dyDescent="0.3">
      <c r="A731" s="4">
        <v>81</v>
      </c>
    </row>
    <row r="732" spans="1:1" x14ac:dyDescent="0.3">
      <c r="A732" s="4">
        <v>124</v>
      </c>
    </row>
    <row r="733" spans="1:1" x14ac:dyDescent="0.3">
      <c r="A733" s="4">
        <v>343</v>
      </c>
    </row>
    <row r="734" spans="1:1" x14ac:dyDescent="0.3">
      <c r="A734" s="4">
        <v>49</v>
      </c>
    </row>
    <row r="735" spans="1:1" x14ac:dyDescent="0.3">
      <c r="A735" s="4">
        <v>121</v>
      </c>
    </row>
    <row r="736" spans="1:1" x14ac:dyDescent="0.3">
      <c r="A736" s="4">
        <v>63</v>
      </c>
    </row>
    <row r="737" spans="1:1" x14ac:dyDescent="0.3">
      <c r="A737" s="4">
        <v>158</v>
      </c>
    </row>
    <row r="738" spans="1:1" x14ac:dyDescent="0.3">
      <c r="A738" s="4">
        <v>304</v>
      </c>
    </row>
    <row r="739" spans="1:1" x14ac:dyDescent="0.3">
      <c r="A739" s="4">
        <v>52</v>
      </c>
    </row>
    <row r="740" spans="1:1" x14ac:dyDescent="0.3">
      <c r="A740" s="4">
        <v>37</v>
      </c>
    </row>
    <row r="741" spans="1:1" x14ac:dyDescent="0.3">
      <c r="A741" s="4">
        <v>27</v>
      </c>
    </row>
    <row r="742" spans="1:1" x14ac:dyDescent="0.3">
      <c r="A742" s="4">
        <v>310</v>
      </c>
    </row>
    <row r="743" spans="1:1" x14ac:dyDescent="0.3">
      <c r="A743" s="4">
        <v>48</v>
      </c>
    </row>
    <row r="744" spans="1:1" x14ac:dyDescent="0.3">
      <c r="A744" s="4">
        <v>330</v>
      </c>
    </row>
    <row r="745" spans="1:1" x14ac:dyDescent="0.3">
      <c r="A745" s="4">
        <v>83</v>
      </c>
    </row>
    <row r="746" spans="1:1" x14ac:dyDescent="0.3">
      <c r="A746" s="4">
        <v>25</v>
      </c>
    </row>
    <row r="747" spans="1:1" x14ac:dyDescent="0.3">
      <c r="A747" s="4">
        <v>4</v>
      </c>
    </row>
    <row r="748" spans="1:1" x14ac:dyDescent="0.3">
      <c r="A748" s="4">
        <v>22</v>
      </c>
    </row>
    <row r="749" spans="1:1" x14ac:dyDescent="0.3">
      <c r="A749" s="4">
        <v>318</v>
      </c>
    </row>
    <row r="750" spans="1:1" x14ac:dyDescent="0.3">
      <c r="A750" s="4">
        <v>72</v>
      </c>
    </row>
    <row r="751" spans="1:1" x14ac:dyDescent="0.3">
      <c r="A751" s="4">
        <v>199</v>
      </c>
    </row>
    <row r="752" spans="1:1" x14ac:dyDescent="0.3">
      <c r="A752" s="4">
        <v>342</v>
      </c>
    </row>
    <row r="753" spans="1:1" x14ac:dyDescent="0.3">
      <c r="A753" s="4">
        <v>169</v>
      </c>
    </row>
    <row r="754" spans="1:1" x14ac:dyDescent="0.3">
      <c r="A754" s="4">
        <v>242</v>
      </c>
    </row>
    <row r="755" spans="1:1" x14ac:dyDescent="0.3">
      <c r="A755" s="4">
        <v>17</v>
      </c>
    </row>
    <row r="756" spans="1:1" x14ac:dyDescent="0.3">
      <c r="A756" s="4">
        <v>21</v>
      </c>
    </row>
    <row r="757" spans="1:1" x14ac:dyDescent="0.3">
      <c r="A757" s="4">
        <v>41</v>
      </c>
    </row>
    <row r="758" spans="1:1" x14ac:dyDescent="0.3">
      <c r="A758" s="4">
        <v>177</v>
      </c>
    </row>
    <row r="759" spans="1:1" x14ac:dyDescent="0.3">
      <c r="A759" s="4">
        <v>34</v>
      </c>
    </row>
    <row r="760" spans="1:1" x14ac:dyDescent="0.3">
      <c r="A760" s="4">
        <v>84</v>
      </c>
    </row>
    <row r="761" spans="1:1" x14ac:dyDescent="0.3">
      <c r="A761" s="4">
        <v>248</v>
      </c>
    </row>
    <row r="762" spans="1:1" x14ac:dyDescent="0.3">
      <c r="A762" s="4">
        <v>313</v>
      </c>
    </row>
    <row r="763" spans="1:1" x14ac:dyDescent="0.3">
      <c r="A763" s="4">
        <v>139</v>
      </c>
    </row>
    <row r="764" spans="1:1" x14ac:dyDescent="0.3">
      <c r="A764" s="4">
        <v>49</v>
      </c>
    </row>
    <row r="765" spans="1:1" x14ac:dyDescent="0.3">
      <c r="A765" s="4">
        <v>36</v>
      </c>
    </row>
    <row r="766" spans="1:1" x14ac:dyDescent="0.3">
      <c r="A766" s="4">
        <v>376</v>
      </c>
    </row>
    <row r="767" spans="1:1" x14ac:dyDescent="0.3">
      <c r="A767" s="4">
        <v>231</v>
      </c>
    </row>
    <row r="768" spans="1:1" x14ac:dyDescent="0.3">
      <c r="A768" s="4">
        <v>66</v>
      </c>
    </row>
    <row r="769" spans="1:1" x14ac:dyDescent="0.3">
      <c r="A769" s="4">
        <v>91</v>
      </c>
    </row>
    <row r="770" spans="1:1" x14ac:dyDescent="0.3">
      <c r="A770" s="4">
        <v>26</v>
      </c>
    </row>
    <row r="771" spans="1:1" x14ac:dyDescent="0.3">
      <c r="A771" s="4">
        <v>58</v>
      </c>
    </row>
    <row r="772" spans="1:1" x14ac:dyDescent="0.3">
      <c r="A772" s="4">
        <v>48</v>
      </c>
    </row>
    <row r="773" spans="1:1" x14ac:dyDescent="0.3">
      <c r="A773" s="4">
        <v>15</v>
      </c>
    </row>
    <row r="774" spans="1:1" x14ac:dyDescent="0.3">
      <c r="A774" s="4">
        <v>69</v>
      </c>
    </row>
    <row r="775" spans="1:1" x14ac:dyDescent="0.3">
      <c r="A775" s="4">
        <v>63</v>
      </c>
    </row>
    <row r="776" spans="1:1" x14ac:dyDescent="0.3">
      <c r="A776" s="4">
        <v>190</v>
      </c>
    </row>
    <row r="777" spans="1:1" x14ac:dyDescent="0.3">
      <c r="A777" s="4">
        <v>363</v>
      </c>
    </row>
    <row r="778" spans="1:1" x14ac:dyDescent="0.3">
      <c r="A778" s="4">
        <v>70</v>
      </c>
    </row>
    <row r="779" spans="1:1" x14ac:dyDescent="0.3">
      <c r="A779" s="4">
        <v>36</v>
      </c>
    </row>
    <row r="780" spans="1:1" x14ac:dyDescent="0.3">
      <c r="A780" s="4">
        <v>222</v>
      </c>
    </row>
    <row r="781" spans="1:1" x14ac:dyDescent="0.3">
      <c r="A781" s="4">
        <v>216</v>
      </c>
    </row>
    <row r="782" spans="1:1" x14ac:dyDescent="0.3">
      <c r="A782" s="4">
        <v>328</v>
      </c>
    </row>
    <row r="783" spans="1:1" x14ac:dyDescent="0.3">
      <c r="A783" s="4">
        <v>49</v>
      </c>
    </row>
    <row r="784" spans="1:1" x14ac:dyDescent="0.3">
      <c r="A784" s="4">
        <v>11</v>
      </c>
    </row>
    <row r="785" spans="1:1" x14ac:dyDescent="0.3">
      <c r="A785" s="4">
        <v>208</v>
      </c>
    </row>
    <row r="786" spans="1:1" x14ac:dyDescent="0.3">
      <c r="A786" s="4">
        <v>189</v>
      </c>
    </row>
    <row r="787" spans="1:1" x14ac:dyDescent="0.3">
      <c r="A787" s="4">
        <v>266</v>
      </c>
    </row>
    <row r="788" spans="1:1" x14ac:dyDescent="0.3">
      <c r="A788" s="4">
        <v>13</v>
      </c>
    </row>
    <row r="789" spans="1:1" x14ac:dyDescent="0.3">
      <c r="A789" s="4">
        <v>187</v>
      </c>
    </row>
    <row r="790" spans="1:1" x14ac:dyDescent="0.3">
      <c r="A790" s="4">
        <v>415</v>
      </c>
    </row>
    <row r="791" spans="1:1" x14ac:dyDescent="0.3">
      <c r="A791" s="4">
        <v>276</v>
      </c>
    </row>
    <row r="792" spans="1:1" x14ac:dyDescent="0.3">
      <c r="A792" s="4">
        <v>46</v>
      </c>
    </row>
    <row r="793" spans="1:1" x14ac:dyDescent="0.3">
      <c r="A793" s="4">
        <v>435</v>
      </c>
    </row>
    <row r="794" spans="1:1" x14ac:dyDescent="0.3">
      <c r="A794" s="4">
        <v>324</v>
      </c>
    </row>
    <row r="795" spans="1:1" x14ac:dyDescent="0.3">
      <c r="A795" s="4">
        <v>91</v>
      </c>
    </row>
    <row r="796" spans="1:1" x14ac:dyDescent="0.3">
      <c r="A796" s="4">
        <v>150</v>
      </c>
    </row>
    <row r="797" spans="1:1" x14ac:dyDescent="0.3">
      <c r="A797" s="4">
        <v>225</v>
      </c>
    </row>
    <row r="798" spans="1:1" x14ac:dyDescent="0.3">
      <c r="A798" s="4">
        <v>220</v>
      </c>
    </row>
    <row r="799" spans="1:1" x14ac:dyDescent="0.3">
      <c r="A799" s="4">
        <v>367</v>
      </c>
    </row>
    <row r="800" spans="1:1" x14ac:dyDescent="0.3">
      <c r="A800" s="4">
        <v>86</v>
      </c>
    </row>
    <row r="801" spans="1:1" x14ac:dyDescent="0.3">
      <c r="A801" s="4">
        <v>334</v>
      </c>
    </row>
    <row r="802" spans="1:1" x14ac:dyDescent="0.3">
      <c r="A802" s="4">
        <v>260</v>
      </c>
    </row>
    <row r="803" spans="1:1" x14ac:dyDescent="0.3">
      <c r="A803" s="4">
        <v>117</v>
      </c>
    </row>
    <row r="804" spans="1:1" x14ac:dyDescent="0.3">
      <c r="A804" s="4">
        <v>231</v>
      </c>
    </row>
    <row r="805" spans="1:1" x14ac:dyDescent="0.3">
      <c r="A805" s="4">
        <v>24</v>
      </c>
    </row>
    <row r="806" spans="1:1" x14ac:dyDescent="0.3">
      <c r="A806" s="4">
        <v>201</v>
      </c>
    </row>
    <row r="807" spans="1:1" x14ac:dyDescent="0.3">
      <c r="A807" s="4">
        <v>57</v>
      </c>
    </row>
    <row r="808" spans="1:1" x14ac:dyDescent="0.3">
      <c r="A808" s="4">
        <v>200</v>
      </c>
    </row>
    <row r="809" spans="1:1" x14ac:dyDescent="0.3">
      <c r="A809" s="4">
        <v>120</v>
      </c>
    </row>
    <row r="810" spans="1:1" x14ac:dyDescent="0.3">
      <c r="A810" s="4">
        <v>56</v>
      </c>
    </row>
    <row r="811" spans="1:1" x14ac:dyDescent="0.3">
      <c r="A811" s="4">
        <v>145</v>
      </c>
    </row>
    <row r="812" spans="1:1" x14ac:dyDescent="0.3">
      <c r="A812" s="4">
        <v>428</v>
      </c>
    </row>
    <row r="813" spans="1:1" x14ac:dyDescent="0.3">
      <c r="A813" s="4">
        <v>65</v>
      </c>
    </row>
    <row r="814" spans="1:1" x14ac:dyDescent="0.3">
      <c r="A814" s="4">
        <v>188</v>
      </c>
    </row>
    <row r="815" spans="1:1" x14ac:dyDescent="0.3">
      <c r="A815" s="4">
        <v>153</v>
      </c>
    </row>
    <row r="816" spans="1:1" x14ac:dyDescent="0.3">
      <c r="A816" s="4">
        <v>212</v>
      </c>
    </row>
    <row r="817" spans="1:1" x14ac:dyDescent="0.3">
      <c r="A817" s="4">
        <v>160</v>
      </c>
    </row>
    <row r="818" spans="1:1" x14ac:dyDescent="0.3">
      <c r="A818" s="4">
        <v>46</v>
      </c>
    </row>
    <row r="819" spans="1:1" x14ac:dyDescent="0.3">
      <c r="A819" s="4">
        <v>156</v>
      </c>
    </row>
    <row r="820" spans="1:1" x14ac:dyDescent="0.3">
      <c r="A820" s="4">
        <v>148</v>
      </c>
    </row>
    <row r="821" spans="1:1" x14ac:dyDescent="0.3">
      <c r="A821" s="4">
        <v>21</v>
      </c>
    </row>
    <row r="822" spans="1:1" x14ac:dyDescent="0.3">
      <c r="A822" s="4">
        <v>80</v>
      </c>
    </row>
    <row r="823" spans="1:1" x14ac:dyDescent="0.3">
      <c r="A823" s="4">
        <v>160</v>
      </c>
    </row>
    <row r="824" spans="1:1" x14ac:dyDescent="0.3">
      <c r="A824" s="4">
        <v>92</v>
      </c>
    </row>
    <row r="825" spans="1:1" x14ac:dyDescent="0.3">
      <c r="A825" s="4">
        <v>198</v>
      </c>
    </row>
    <row r="826" spans="1:1" x14ac:dyDescent="0.3">
      <c r="A826" s="4">
        <v>47</v>
      </c>
    </row>
    <row r="827" spans="1:1" x14ac:dyDescent="0.3">
      <c r="A827" s="4">
        <v>255</v>
      </c>
    </row>
    <row r="828" spans="1:1" x14ac:dyDescent="0.3">
      <c r="A828" s="4">
        <v>62</v>
      </c>
    </row>
    <row r="829" spans="1:1" x14ac:dyDescent="0.3">
      <c r="A829" s="4">
        <v>21</v>
      </c>
    </row>
    <row r="830" spans="1:1" x14ac:dyDescent="0.3">
      <c r="A830" s="4">
        <v>234</v>
      </c>
    </row>
    <row r="831" spans="1:1" x14ac:dyDescent="0.3">
      <c r="A831" s="4">
        <v>118</v>
      </c>
    </row>
    <row r="832" spans="1:1" x14ac:dyDescent="0.3">
      <c r="A832" s="4">
        <v>71</v>
      </c>
    </row>
    <row r="833" spans="1:1" x14ac:dyDescent="0.3">
      <c r="A833" s="4">
        <v>67</v>
      </c>
    </row>
    <row r="834" spans="1:1" x14ac:dyDescent="0.3">
      <c r="A834" s="4">
        <v>55</v>
      </c>
    </row>
    <row r="835" spans="1:1" x14ac:dyDescent="0.3">
      <c r="A835" s="4">
        <v>143</v>
      </c>
    </row>
    <row r="836" spans="1:1" x14ac:dyDescent="0.3">
      <c r="A836" s="4">
        <v>86</v>
      </c>
    </row>
    <row r="837" spans="1:1" x14ac:dyDescent="0.3">
      <c r="A837" s="4">
        <v>69</v>
      </c>
    </row>
    <row r="838" spans="1:1" x14ac:dyDescent="0.3">
      <c r="A838" s="4">
        <v>135</v>
      </c>
    </row>
    <row r="839" spans="1:1" x14ac:dyDescent="0.3">
      <c r="A839" s="4">
        <v>12</v>
      </c>
    </row>
    <row r="840" spans="1:1" x14ac:dyDescent="0.3">
      <c r="A840" s="4">
        <v>11</v>
      </c>
    </row>
    <row r="841" spans="1:1" x14ac:dyDescent="0.3">
      <c r="A841" s="4">
        <v>37</v>
      </c>
    </row>
    <row r="842" spans="1:1" x14ac:dyDescent="0.3">
      <c r="A842" s="4">
        <v>98</v>
      </c>
    </row>
    <row r="843" spans="1:1" x14ac:dyDescent="0.3">
      <c r="A843" s="4">
        <v>216</v>
      </c>
    </row>
    <row r="844" spans="1:1" x14ac:dyDescent="0.3">
      <c r="A844" s="4">
        <v>151</v>
      </c>
    </row>
    <row r="845" spans="1:1" x14ac:dyDescent="0.3">
      <c r="A845" s="4">
        <v>252</v>
      </c>
    </row>
    <row r="846" spans="1:1" x14ac:dyDescent="0.3">
      <c r="A846" s="4">
        <v>35</v>
      </c>
    </row>
    <row r="847" spans="1:1" x14ac:dyDescent="0.3">
      <c r="A847" s="4">
        <v>103</v>
      </c>
    </row>
    <row r="848" spans="1:1" x14ac:dyDescent="0.3">
      <c r="A848" s="4">
        <v>102</v>
      </c>
    </row>
    <row r="849" spans="1:1" x14ac:dyDescent="0.3">
      <c r="A849" s="4">
        <v>246</v>
      </c>
    </row>
    <row r="850" spans="1:1" x14ac:dyDescent="0.3">
      <c r="A850" s="4">
        <v>69</v>
      </c>
    </row>
    <row r="851" spans="1:1" x14ac:dyDescent="0.3">
      <c r="A851" s="4">
        <v>112</v>
      </c>
    </row>
    <row r="852" spans="1:1" x14ac:dyDescent="0.3">
      <c r="A852" s="4">
        <v>62</v>
      </c>
    </row>
    <row r="853" spans="1:1" x14ac:dyDescent="0.3">
      <c r="A853" s="4">
        <v>8</v>
      </c>
    </row>
    <row r="854" spans="1:1" x14ac:dyDescent="0.3">
      <c r="A854" s="4">
        <v>54</v>
      </c>
    </row>
    <row r="855" spans="1:1" x14ac:dyDescent="0.3">
      <c r="A855" s="4">
        <v>188</v>
      </c>
    </row>
    <row r="856" spans="1:1" x14ac:dyDescent="0.3">
      <c r="A856" s="4">
        <v>196</v>
      </c>
    </row>
    <row r="857" spans="1:1" x14ac:dyDescent="0.3">
      <c r="A857" s="4">
        <v>265</v>
      </c>
    </row>
    <row r="858" spans="1:1" x14ac:dyDescent="0.3">
      <c r="A858" s="4">
        <v>144</v>
      </c>
    </row>
    <row r="859" spans="1:1" x14ac:dyDescent="0.3">
      <c r="A859" s="4">
        <v>53</v>
      </c>
    </row>
    <row r="860" spans="1:1" x14ac:dyDescent="0.3">
      <c r="A860" s="4">
        <v>127</v>
      </c>
    </row>
    <row r="861" spans="1:1" x14ac:dyDescent="0.3">
      <c r="A861" s="4">
        <v>156</v>
      </c>
    </row>
    <row r="862" spans="1:1" x14ac:dyDescent="0.3">
      <c r="A862" s="4">
        <v>63</v>
      </c>
    </row>
    <row r="863" spans="1:1" x14ac:dyDescent="0.3">
      <c r="A863" s="4">
        <v>384</v>
      </c>
    </row>
    <row r="864" spans="1:1" x14ac:dyDescent="0.3">
      <c r="A864" s="4">
        <v>181</v>
      </c>
    </row>
    <row r="865" spans="1:1" x14ac:dyDescent="0.3">
      <c r="A865" s="4">
        <v>337</v>
      </c>
    </row>
    <row r="866" spans="1:1" x14ac:dyDescent="0.3">
      <c r="A866" s="4">
        <v>43</v>
      </c>
    </row>
    <row r="867" spans="1:1" x14ac:dyDescent="0.3">
      <c r="A867" s="4">
        <v>130</v>
      </c>
    </row>
    <row r="868" spans="1:1" x14ac:dyDescent="0.3">
      <c r="A868" s="4">
        <v>376</v>
      </c>
    </row>
    <row r="869" spans="1:1" x14ac:dyDescent="0.3">
      <c r="A869" s="4">
        <v>179</v>
      </c>
    </row>
    <row r="870" spans="1:1" x14ac:dyDescent="0.3">
      <c r="A870" s="4">
        <v>327</v>
      </c>
    </row>
    <row r="871" spans="1:1" x14ac:dyDescent="0.3">
      <c r="A871" s="4">
        <v>227</v>
      </c>
    </row>
    <row r="872" spans="1:1" x14ac:dyDescent="0.3">
      <c r="A872" s="4">
        <v>84</v>
      </c>
    </row>
    <row r="873" spans="1:1" x14ac:dyDescent="0.3">
      <c r="A873" s="4">
        <v>45</v>
      </c>
    </row>
    <row r="874" spans="1:1" x14ac:dyDescent="0.3">
      <c r="A874" s="4">
        <v>130</v>
      </c>
    </row>
    <row r="875" spans="1:1" x14ac:dyDescent="0.3">
      <c r="A875" s="4">
        <v>47</v>
      </c>
    </row>
    <row r="876" spans="1:1" x14ac:dyDescent="0.3">
      <c r="A876" s="4">
        <v>240</v>
      </c>
    </row>
    <row r="877" spans="1:1" x14ac:dyDescent="0.3">
      <c r="A877" s="4">
        <v>292</v>
      </c>
    </row>
    <row r="878" spans="1:1" x14ac:dyDescent="0.3">
      <c r="A878" s="4">
        <v>231</v>
      </c>
    </row>
    <row r="879" spans="1:1" x14ac:dyDescent="0.3">
      <c r="A879" s="4">
        <v>104</v>
      </c>
    </row>
    <row r="880" spans="1:1" x14ac:dyDescent="0.3">
      <c r="A880" s="4">
        <v>64</v>
      </c>
    </row>
    <row r="881" spans="1:1" x14ac:dyDescent="0.3">
      <c r="A881" s="4">
        <v>197</v>
      </c>
    </row>
    <row r="882" spans="1:1" x14ac:dyDescent="0.3">
      <c r="A882" s="4">
        <v>156</v>
      </c>
    </row>
    <row r="883" spans="1:1" x14ac:dyDescent="0.3">
      <c r="A883" s="4">
        <v>185</v>
      </c>
    </row>
    <row r="884" spans="1:1" x14ac:dyDescent="0.3">
      <c r="A884" s="4">
        <v>220</v>
      </c>
    </row>
    <row r="885" spans="1:1" x14ac:dyDescent="0.3">
      <c r="A885" s="4">
        <v>122</v>
      </c>
    </row>
    <row r="886" spans="1:1" x14ac:dyDescent="0.3">
      <c r="A886" s="4">
        <v>134</v>
      </c>
    </row>
    <row r="887" spans="1:1" x14ac:dyDescent="0.3">
      <c r="A887" s="4">
        <v>351</v>
      </c>
    </row>
    <row r="888" spans="1:1" x14ac:dyDescent="0.3">
      <c r="A888" s="4">
        <v>78</v>
      </c>
    </row>
    <row r="889" spans="1:1" x14ac:dyDescent="0.3">
      <c r="A889" s="4">
        <v>206</v>
      </c>
    </row>
    <row r="890" spans="1:1" x14ac:dyDescent="0.3">
      <c r="A890" s="4">
        <v>252</v>
      </c>
    </row>
    <row r="891" spans="1:1" x14ac:dyDescent="0.3">
      <c r="A891" s="4">
        <v>16</v>
      </c>
    </row>
    <row r="892" spans="1:1" x14ac:dyDescent="0.3">
      <c r="A892" s="4">
        <v>240</v>
      </c>
    </row>
    <row r="893" spans="1:1" x14ac:dyDescent="0.3">
      <c r="A893" s="4">
        <v>23</v>
      </c>
    </row>
    <row r="894" spans="1:1" x14ac:dyDescent="0.3">
      <c r="A894" s="4">
        <v>235</v>
      </c>
    </row>
    <row r="895" spans="1:1" x14ac:dyDescent="0.3">
      <c r="A895" s="4">
        <v>13</v>
      </c>
    </row>
    <row r="896" spans="1:1" x14ac:dyDescent="0.3">
      <c r="A896" s="4">
        <v>145</v>
      </c>
    </row>
    <row r="897" spans="1:1" x14ac:dyDescent="0.3">
      <c r="A897" s="4">
        <v>47</v>
      </c>
    </row>
    <row r="898" spans="1:1" x14ac:dyDescent="0.3">
      <c r="A898" s="4">
        <v>311</v>
      </c>
    </row>
    <row r="899" spans="1:1" x14ac:dyDescent="0.3">
      <c r="A899" s="4">
        <v>66</v>
      </c>
    </row>
    <row r="900" spans="1:1" x14ac:dyDescent="0.3">
      <c r="A900" s="4">
        <v>138</v>
      </c>
    </row>
    <row r="901" spans="1:1" x14ac:dyDescent="0.3">
      <c r="A901" s="4">
        <v>57</v>
      </c>
    </row>
    <row r="902" spans="1:1" x14ac:dyDescent="0.3">
      <c r="A902" s="4">
        <v>27</v>
      </c>
    </row>
    <row r="903" spans="1:1" x14ac:dyDescent="0.3">
      <c r="A903" s="4">
        <v>21</v>
      </c>
    </row>
    <row r="904" spans="1:1" x14ac:dyDescent="0.3">
      <c r="A904" s="4">
        <v>150</v>
      </c>
    </row>
    <row r="905" spans="1:1" x14ac:dyDescent="0.3">
      <c r="A905" s="4">
        <v>296</v>
      </c>
    </row>
    <row r="906" spans="1:1" x14ac:dyDescent="0.3">
      <c r="A906" s="4">
        <v>302</v>
      </c>
    </row>
    <row r="907" spans="1:1" x14ac:dyDescent="0.3">
      <c r="A907" s="4">
        <v>376</v>
      </c>
    </row>
    <row r="908" spans="1:1" x14ac:dyDescent="0.3">
      <c r="A908" s="4">
        <v>123</v>
      </c>
    </row>
    <row r="909" spans="1:1" x14ac:dyDescent="0.3">
      <c r="A909" s="4">
        <v>97</v>
      </c>
    </row>
    <row r="910" spans="1:1" x14ac:dyDescent="0.3">
      <c r="A910" s="4">
        <v>241</v>
      </c>
    </row>
    <row r="911" spans="1:1" x14ac:dyDescent="0.3">
      <c r="A911" s="4">
        <v>10</v>
      </c>
    </row>
    <row r="912" spans="1:1" x14ac:dyDescent="0.3">
      <c r="A912" s="4">
        <v>74</v>
      </c>
    </row>
    <row r="913" spans="1:1" x14ac:dyDescent="0.3">
      <c r="A913" s="4">
        <v>232</v>
      </c>
    </row>
    <row r="914" spans="1:1" x14ac:dyDescent="0.3">
      <c r="A914" s="4">
        <v>380</v>
      </c>
    </row>
    <row r="915" spans="1:1" x14ac:dyDescent="0.3">
      <c r="A915" s="4">
        <v>263</v>
      </c>
    </row>
    <row r="916" spans="1:1" x14ac:dyDescent="0.3">
      <c r="A916" s="4">
        <v>66</v>
      </c>
    </row>
    <row r="917" spans="1:1" x14ac:dyDescent="0.3">
      <c r="A917" s="4">
        <v>175</v>
      </c>
    </row>
    <row r="918" spans="1:1" x14ac:dyDescent="0.3">
      <c r="A918" s="4">
        <v>61</v>
      </c>
    </row>
    <row r="919" spans="1:1" x14ac:dyDescent="0.3">
      <c r="A919" s="4">
        <v>237</v>
      </c>
    </row>
    <row r="920" spans="1:1" x14ac:dyDescent="0.3">
      <c r="A920" s="4">
        <v>174</v>
      </c>
    </row>
    <row r="921" spans="1:1" x14ac:dyDescent="0.3">
      <c r="A921" s="4">
        <v>324</v>
      </c>
    </row>
    <row r="922" spans="1:1" x14ac:dyDescent="0.3">
      <c r="A922" s="4">
        <v>106</v>
      </c>
    </row>
    <row r="923" spans="1:1" x14ac:dyDescent="0.3">
      <c r="A923" s="4">
        <v>175</v>
      </c>
    </row>
    <row r="924" spans="1:1" x14ac:dyDescent="0.3">
      <c r="A924" s="4">
        <v>402</v>
      </c>
    </row>
    <row r="925" spans="1:1" x14ac:dyDescent="0.3">
      <c r="A925" s="4">
        <v>78</v>
      </c>
    </row>
    <row r="926" spans="1:1" x14ac:dyDescent="0.3">
      <c r="A926" s="4">
        <v>140</v>
      </c>
    </row>
    <row r="927" spans="1:1" x14ac:dyDescent="0.3">
      <c r="A927" s="4">
        <v>112</v>
      </c>
    </row>
    <row r="928" spans="1:1" x14ac:dyDescent="0.3">
      <c r="A928" s="4">
        <v>76</v>
      </c>
    </row>
    <row r="929" spans="1:1" x14ac:dyDescent="0.3">
      <c r="A929" s="4">
        <v>130</v>
      </c>
    </row>
    <row r="930" spans="1:1" x14ac:dyDescent="0.3">
      <c r="A930" s="4">
        <v>197</v>
      </c>
    </row>
    <row r="931" spans="1:1" x14ac:dyDescent="0.3">
      <c r="A931" s="4">
        <v>56</v>
      </c>
    </row>
    <row r="932" spans="1:1" x14ac:dyDescent="0.3">
      <c r="A932" s="4">
        <v>83</v>
      </c>
    </row>
    <row r="933" spans="1:1" x14ac:dyDescent="0.3">
      <c r="A933" s="4">
        <v>417</v>
      </c>
    </row>
    <row r="934" spans="1:1" x14ac:dyDescent="0.3">
      <c r="A934" s="4">
        <v>42</v>
      </c>
    </row>
    <row r="935" spans="1:1" x14ac:dyDescent="0.3">
      <c r="A935" s="4">
        <v>123</v>
      </c>
    </row>
    <row r="936" spans="1:1" x14ac:dyDescent="0.3">
      <c r="A936" s="4">
        <v>45</v>
      </c>
    </row>
    <row r="937" spans="1:1" x14ac:dyDescent="0.3">
      <c r="A937" s="4">
        <v>47</v>
      </c>
    </row>
    <row r="938" spans="1:1" x14ac:dyDescent="0.3">
      <c r="A938" s="4">
        <v>67</v>
      </c>
    </row>
    <row r="939" spans="1:1" x14ac:dyDescent="0.3">
      <c r="A939" s="4">
        <v>53</v>
      </c>
    </row>
    <row r="940" spans="1:1" x14ac:dyDescent="0.3">
      <c r="A940" s="4">
        <v>180</v>
      </c>
    </row>
    <row r="941" spans="1:1" x14ac:dyDescent="0.3">
      <c r="A941" s="4">
        <v>185</v>
      </c>
    </row>
    <row r="942" spans="1:1" x14ac:dyDescent="0.3">
      <c r="A942" s="4">
        <v>140</v>
      </c>
    </row>
    <row r="943" spans="1:1" x14ac:dyDescent="0.3">
      <c r="A943" s="4">
        <v>122</v>
      </c>
    </row>
    <row r="944" spans="1:1" x14ac:dyDescent="0.3">
      <c r="A944" s="4">
        <v>9</v>
      </c>
    </row>
    <row r="945" spans="1:1" x14ac:dyDescent="0.3">
      <c r="A945" s="4">
        <v>58</v>
      </c>
    </row>
    <row r="946" spans="1:1" x14ac:dyDescent="0.3">
      <c r="A946" s="4">
        <v>53</v>
      </c>
    </row>
    <row r="947" spans="1:1" x14ac:dyDescent="0.3">
      <c r="A947" s="4">
        <v>88</v>
      </c>
    </row>
    <row r="948" spans="1:1" x14ac:dyDescent="0.3">
      <c r="A948" s="4">
        <v>87</v>
      </c>
    </row>
    <row r="949" spans="1:1" x14ac:dyDescent="0.3">
      <c r="A949" s="4">
        <v>56</v>
      </c>
    </row>
    <row r="950" spans="1:1" x14ac:dyDescent="0.3">
      <c r="A950" s="4">
        <v>70</v>
      </c>
    </row>
    <row r="951" spans="1:1" x14ac:dyDescent="0.3">
      <c r="A951" s="4">
        <v>105</v>
      </c>
    </row>
    <row r="952" spans="1:1" x14ac:dyDescent="0.3">
      <c r="A952" s="4">
        <v>59</v>
      </c>
    </row>
    <row r="953" spans="1:1" x14ac:dyDescent="0.3">
      <c r="A953" s="4">
        <v>19</v>
      </c>
    </row>
    <row r="954" spans="1:1" x14ac:dyDescent="0.3">
      <c r="A954" s="4">
        <v>187</v>
      </c>
    </row>
    <row r="955" spans="1:1" x14ac:dyDescent="0.3">
      <c r="A955" s="4">
        <v>231</v>
      </c>
    </row>
    <row r="956" spans="1:1" x14ac:dyDescent="0.3">
      <c r="A956" s="4">
        <v>155</v>
      </c>
    </row>
    <row r="957" spans="1:1" x14ac:dyDescent="0.3">
      <c r="A957" s="4">
        <v>74</v>
      </c>
    </row>
    <row r="958" spans="1:1" x14ac:dyDescent="0.3">
      <c r="A958" s="4">
        <v>61</v>
      </c>
    </row>
    <row r="959" spans="1:1" x14ac:dyDescent="0.3">
      <c r="A959" s="4">
        <v>206</v>
      </c>
    </row>
    <row r="960" spans="1:1" x14ac:dyDescent="0.3">
      <c r="A960" s="4">
        <v>77</v>
      </c>
    </row>
    <row r="961" spans="1:1" x14ac:dyDescent="0.3">
      <c r="A961" s="4">
        <v>244</v>
      </c>
    </row>
    <row r="962" spans="1:1" x14ac:dyDescent="0.3">
      <c r="A962" s="4">
        <v>269</v>
      </c>
    </row>
    <row r="963" spans="1:1" x14ac:dyDescent="0.3">
      <c r="A963" s="4">
        <v>237</v>
      </c>
    </row>
    <row r="964" spans="1:1" x14ac:dyDescent="0.3">
      <c r="A964" s="4">
        <v>289</v>
      </c>
    </row>
    <row r="965" spans="1:1" x14ac:dyDescent="0.3">
      <c r="A965" s="4">
        <v>44</v>
      </c>
    </row>
    <row r="966" spans="1:1" x14ac:dyDescent="0.3">
      <c r="A966" s="4">
        <v>218</v>
      </c>
    </row>
    <row r="967" spans="1:1" x14ac:dyDescent="0.3">
      <c r="A967" s="4">
        <v>151</v>
      </c>
    </row>
    <row r="968" spans="1:1" x14ac:dyDescent="0.3">
      <c r="A968" s="4">
        <v>46</v>
      </c>
    </row>
    <row r="969" spans="1:1" x14ac:dyDescent="0.3">
      <c r="A969" s="4">
        <v>21</v>
      </c>
    </row>
    <row r="970" spans="1:1" x14ac:dyDescent="0.3">
      <c r="A970" s="4">
        <v>88</v>
      </c>
    </row>
    <row r="971" spans="1:1" x14ac:dyDescent="0.3">
      <c r="A971" s="4">
        <v>23</v>
      </c>
    </row>
    <row r="972" spans="1:1" x14ac:dyDescent="0.3">
      <c r="A972" s="4">
        <v>422</v>
      </c>
    </row>
    <row r="973" spans="1:1" x14ac:dyDescent="0.3">
      <c r="A973" s="4">
        <v>45</v>
      </c>
    </row>
    <row r="974" spans="1:1" x14ac:dyDescent="0.3">
      <c r="A974" s="4">
        <v>119</v>
      </c>
    </row>
    <row r="975" spans="1:1" x14ac:dyDescent="0.3">
      <c r="A975" s="4">
        <v>88</v>
      </c>
    </row>
    <row r="976" spans="1:1" x14ac:dyDescent="0.3">
      <c r="A976" s="4">
        <v>215</v>
      </c>
    </row>
    <row r="977" spans="1:1" x14ac:dyDescent="0.3">
      <c r="A977" s="4">
        <v>8</v>
      </c>
    </row>
    <row r="978" spans="1:1" x14ac:dyDescent="0.3">
      <c r="A978" s="4">
        <v>25</v>
      </c>
    </row>
    <row r="979" spans="1:1" x14ac:dyDescent="0.3">
      <c r="A979" s="4">
        <v>31</v>
      </c>
    </row>
    <row r="980" spans="1:1" x14ac:dyDescent="0.3">
      <c r="A980" s="4">
        <v>276</v>
      </c>
    </row>
    <row r="981" spans="1:1" x14ac:dyDescent="0.3">
      <c r="A981" s="4">
        <v>34</v>
      </c>
    </row>
    <row r="982" spans="1:1" x14ac:dyDescent="0.3">
      <c r="A982" s="4">
        <v>9</v>
      </c>
    </row>
    <row r="983" spans="1:1" x14ac:dyDescent="0.3">
      <c r="A983" s="4">
        <v>112</v>
      </c>
    </row>
    <row r="984" spans="1:1" x14ac:dyDescent="0.3">
      <c r="A984" s="4">
        <v>261</v>
      </c>
    </row>
    <row r="985" spans="1:1" x14ac:dyDescent="0.3">
      <c r="A985" s="4">
        <v>232</v>
      </c>
    </row>
    <row r="986" spans="1:1" x14ac:dyDescent="0.3">
      <c r="A986" s="4">
        <v>67</v>
      </c>
    </row>
    <row r="987" spans="1:1" x14ac:dyDescent="0.3">
      <c r="A987" s="4">
        <v>48</v>
      </c>
    </row>
    <row r="988" spans="1:1" x14ac:dyDescent="0.3">
      <c r="A988" s="4">
        <v>135</v>
      </c>
    </row>
    <row r="989" spans="1:1" x14ac:dyDescent="0.3">
      <c r="A989" s="4">
        <v>89</v>
      </c>
    </row>
    <row r="990" spans="1:1" x14ac:dyDescent="0.3">
      <c r="A990" s="4">
        <v>230</v>
      </c>
    </row>
    <row r="991" spans="1:1" x14ac:dyDescent="0.3">
      <c r="A991" s="4">
        <v>30</v>
      </c>
    </row>
    <row r="992" spans="1:1" x14ac:dyDescent="0.3">
      <c r="A992" s="4">
        <v>233</v>
      </c>
    </row>
    <row r="993" spans="1:1" x14ac:dyDescent="0.3">
      <c r="A993" s="4">
        <v>161</v>
      </c>
    </row>
    <row r="994" spans="1:1" x14ac:dyDescent="0.3">
      <c r="A994" s="4">
        <v>176</v>
      </c>
    </row>
    <row r="995" spans="1:1" x14ac:dyDescent="0.3">
      <c r="A995" s="4">
        <v>17</v>
      </c>
    </row>
    <row r="996" spans="1:1" x14ac:dyDescent="0.3">
      <c r="A996" s="4">
        <v>206</v>
      </c>
    </row>
    <row r="997" spans="1:1" x14ac:dyDescent="0.3">
      <c r="A997" s="4">
        <v>12</v>
      </c>
    </row>
    <row r="998" spans="1:1" x14ac:dyDescent="0.3">
      <c r="A998" s="4">
        <v>96</v>
      </c>
    </row>
    <row r="999" spans="1:1" x14ac:dyDescent="0.3">
      <c r="A999" s="4">
        <v>66</v>
      </c>
    </row>
    <row r="1000" spans="1:1" x14ac:dyDescent="0.3">
      <c r="A1000" s="4">
        <v>124</v>
      </c>
    </row>
    <row r="1001" spans="1:1" x14ac:dyDescent="0.3">
      <c r="A1001" s="4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7CE78-14AB-4508-8CCE-35B0DAF30409}">
  <dimension ref="A1:K1003"/>
  <sheetViews>
    <sheetView workbookViewId="0"/>
  </sheetViews>
  <sheetFormatPr baseColWidth="10" defaultRowHeight="14.4" x14ac:dyDescent="0.3"/>
  <cols>
    <col min="1" max="1" width="29" bestFit="1" customWidth="1"/>
    <col min="2" max="2" width="31" bestFit="1" customWidth="1"/>
    <col min="3" max="3" width="30.109375" bestFit="1" customWidth="1"/>
    <col min="4" max="4" width="27.88671875" bestFit="1" customWidth="1"/>
    <col min="5" max="5" width="28.33203125" bestFit="1" customWidth="1"/>
    <col min="6" max="6" width="35.21875" bestFit="1" customWidth="1"/>
    <col min="7" max="7" width="31.109375" bestFit="1" customWidth="1"/>
    <col min="8" max="8" width="33.88671875" bestFit="1" customWidth="1"/>
    <col min="9" max="9" width="26.109375" bestFit="1" customWidth="1"/>
    <col min="10" max="10" width="27.6640625" bestFit="1" customWidth="1"/>
    <col min="11" max="11" width="33.21875" bestFit="1" customWidth="1"/>
  </cols>
  <sheetData>
    <row r="1" spans="1:11" x14ac:dyDescent="0.3">
      <c r="A1" s="42" t="s">
        <v>1160</v>
      </c>
    </row>
    <row r="3" spans="1:11" x14ac:dyDescent="0.3">
      <c r="A3" t="s">
        <v>59</v>
      </c>
      <c r="B3" t="s">
        <v>60</v>
      </c>
      <c r="C3" t="s">
        <v>61</v>
      </c>
      <c r="D3" t="s">
        <v>62</v>
      </c>
      <c r="E3" t="s">
        <v>63</v>
      </c>
      <c r="F3" t="s">
        <v>64</v>
      </c>
      <c r="G3" t="s">
        <v>65</v>
      </c>
      <c r="H3" t="s">
        <v>66</v>
      </c>
      <c r="I3" t="s">
        <v>67</v>
      </c>
      <c r="J3" t="s">
        <v>68</v>
      </c>
      <c r="K3" t="s">
        <v>69</v>
      </c>
    </row>
    <row r="4" spans="1:11" x14ac:dyDescent="0.3">
      <c r="A4">
        <v>5.59</v>
      </c>
      <c r="B4" t="s">
        <v>70</v>
      </c>
      <c r="C4" t="s">
        <v>71</v>
      </c>
      <c r="D4" t="s">
        <v>72</v>
      </c>
      <c r="E4">
        <v>3</v>
      </c>
      <c r="F4" t="s">
        <v>73</v>
      </c>
      <c r="G4">
        <v>11.88</v>
      </c>
      <c r="H4">
        <v>47</v>
      </c>
      <c r="I4">
        <v>124</v>
      </c>
      <c r="J4">
        <v>319</v>
      </c>
      <c r="K4">
        <v>195</v>
      </c>
    </row>
    <row r="5" spans="1:11" x14ac:dyDescent="0.3">
      <c r="A5">
        <v>7.23</v>
      </c>
      <c r="B5" t="s">
        <v>70</v>
      </c>
      <c r="C5" t="s">
        <v>74</v>
      </c>
      <c r="D5" t="s">
        <v>72</v>
      </c>
      <c r="E5">
        <v>3</v>
      </c>
      <c r="F5" t="s">
        <v>75</v>
      </c>
      <c r="G5">
        <v>9.67</v>
      </c>
      <c r="H5">
        <v>51</v>
      </c>
      <c r="I5">
        <v>281</v>
      </c>
      <c r="J5">
        <v>353</v>
      </c>
      <c r="K5">
        <v>72</v>
      </c>
    </row>
    <row r="6" spans="1:11" x14ac:dyDescent="0.3">
      <c r="A6">
        <v>6.94</v>
      </c>
      <c r="B6" t="s">
        <v>70</v>
      </c>
      <c r="C6" t="s">
        <v>76</v>
      </c>
      <c r="D6" t="s">
        <v>77</v>
      </c>
      <c r="E6">
        <v>3</v>
      </c>
      <c r="F6" t="s">
        <v>78</v>
      </c>
      <c r="G6">
        <v>12.18</v>
      </c>
      <c r="H6">
        <v>15</v>
      </c>
      <c r="I6">
        <v>22</v>
      </c>
      <c r="J6">
        <v>74</v>
      </c>
      <c r="K6">
        <v>52</v>
      </c>
    </row>
    <row r="7" spans="1:11" x14ac:dyDescent="0.3">
      <c r="A7">
        <v>7.12</v>
      </c>
      <c r="B7" t="s">
        <v>70</v>
      </c>
      <c r="C7" t="s">
        <v>79</v>
      </c>
      <c r="D7" t="s">
        <v>80</v>
      </c>
      <c r="E7">
        <v>3</v>
      </c>
      <c r="F7" t="s">
        <v>81</v>
      </c>
      <c r="G7">
        <v>14.42</v>
      </c>
      <c r="H7">
        <v>37</v>
      </c>
      <c r="I7">
        <v>238</v>
      </c>
      <c r="J7">
        <v>337</v>
      </c>
      <c r="K7">
        <v>99</v>
      </c>
    </row>
    <row r="8" spans="1:11" x14ac:dyDescent="0.3">
      <c r="A8">
        <v>3.29</v>
      </c>
      <c r="B8" t="s">
        <v>70</v>
      </c>
      <c r="C8" t="s">
        <v>82</v>
      </c>
      <c r="D8" t="s">
        <v>83</v>
      </c>
      <c r="E8">
        <v>3</v>
      </c>
      <c r="F8" t="s">
        <v>84</v>
      </c>
      <c r="G8">
        <v>4.8</v>
      </c>
      <c r="H8">
        <v>63</v>
      </c>
      <c r="I8">
        <v>168</v>
      </c>
      <c r="J8">
        <v>270</v>
      </c>
      <c r="K8">
        <v>102</v>
      </c>
    </row>
    <row r="9" spans="1:11" x14ac:dyDescent="0.3">
      <c r="A9">
        <v>7.76</v>
      </c>
      <c r="B9" t="s">
        <v>70</v>
      </c>
      <c r="C9" t="s">
        <v>85</v>
      </c>
      <c r="D9" t="s">
        <v>72</v>
      </c>
      <c r="E9">
        <v>3</v>
      </c>
      <c r="F9" t="s">
        <v>75</v>
      </c>
      <c r="G9">
        <v>10.09</v>
      </c>
      <c r="H9">
        <v>54</v>
      </c>
      <c r="I9">
        <v>105</v>
      </c>
      <c r="J9">
        <v>261</v>
      </c>
      <c r="K9">
        <v>156</v>
      </c>
    </row>
    <row r="10" spans="1:11" x14ac:dyDescent="0.3">
      <c r="A10">
        <v>13.84</v>
      </c>
      <c r="B10" t="s">
        <v>70</v>
      </c>
      <c r="C10" t="s">
        <v>86</v>
      </c>
      <c r="D10" t="s">
        <v>87</v>
      </c>
      <c r="E10">
        <v>3</v>
      </c>
      <c r="F10" t="s">
        <v>88</v>
      </c>
      <c r="G10">
        <v>28.88</v>
      </c>
      <c r="H10">
        <v>68</v>
      </c>
      <c r="I10">
        <v>270</v>
      </c>
      <c r="J10">
        <v>416</v>
      </c>
      <c r="K10">
        <v>146</v>
      </c>
    </row>
    <row r="11" spans="1:11" x14ac:dyDescent="0.3">
      <c r="A11">
        <v>21.7</v>
      </c>
      <c r="B11" t="s">
        <v>70</v>
      </c>
      <c r="C11" t="s">
        <v>89</v>
      </c>
      <c r="D11" t="s">
        <v>90</v>
      </c>
      <c r="E11">
        <v>3</v>
      </c>
      <c r="F11" t="s">
        <v>91</v>
      </c>
      <c r="G11">
        <v>40.340000000000003</v>
      </c>
      <c r="H11">
        <v>63</v>
      </c>
      <c r="I11">
        <v>178</v>
      </c>
      <c r="J11">
        <v>402</v>
      </c>
      <c r="K11">
        <v>224</v>
      </c>
    </row>
    <row r="12" spans="1:11" x14ac:dyDescent="0.3">
      <c r="A12">
        <v>8.86</v>
      </c>
      <c r="B12" t="s">
        <v>70</v>
      </c>
      <c r="C12" t="s">
        <v>92</v>
      </c>
      <c r="D12" t="s">
        <v>93</v>
      </c>
      <c r="E12">
        <v>3</v>
      </c>
      <c r="F12" t="s">
        <v>94</v>
      </c>
      <c r="G12">
        <v>18.82</v>
      </c>
      <c r="H12">
        <v>81</v>
      </c>
      <c r="I12">
        <v>351</v>
      </c>
      <c r="J12">
        <v>392</v>
      </c>
      <c r="K12">
        <v>41</v>
      </c>
    </row>
    <row r="13" spans="1:11" x14ac:dyDescent="0.3">
      <c r="A13">
        <v>5.18</v>
      </c>
      <c r="B13" t="s">
        <v>70</v>
      </c>
      <c r="C13" t="s">
        <v>95</v>
      </c>
      <c r="D13" t="s">
        <v>72</v>
      </c>
      <c r="E13">
        <v>3</v>
      </c>
      <c r="F13" t="s">
        <v>96</v>
      </c>
      <c r="G13">
        <v>8.67</v>
      </c>
      <c r="H13">
        <v>44</v>
      </c>
      <c r="I13">
        <v>185</v>
      </c>
      <c r="J13">
        <v>222</v>
      </c>
      <c r="K13">
        <v>37</v>
      </c>
    </row>
    <row r="14" spans="1:11" x14ac:dyDescent="0.3">
      <c r="A14">
        <v>15.35</v>
      </c>
      <c r="B14" t="s">
        <v>70</v>
      </c>
      <c r="C14" t="s">
        <v>97</v>
      </c>
      <c r="D14" t="s">
        <v>80</v>
      </c>
      <c r="E14">
        <v>3</v>
      </c>
      <c r="F14" t="s">
        <v>98</v>
      </c>
      <c r="G14">
        <v>25.52</v>
      </c>
      <c r="H14">
        <v>89</v>
      </c>
      <c r="I14">
        <v>326</v>
      </c>
      <c r="J14">
        <v>409</v>
      </c>
      <c r="K14">
        <v>83</v>
      </c>
    </row>
    <row r="15" spans="1:11" x14ac:dyDescent="0.3">
      <c r="A15">
        <v>2.4900000000000002</v>
      </c>
      <c r="B15" t="s">
        <v>70</v>
      </c>
      <c r="C15" t="s">
        <v>99</v>
      </c>
      <c r="D15" t="s">
        <v>83</v>
      </c>
      <c r="E15">
        <v>3</v>
      </c>
      <c r="F15" t="s">
        <v>100</v>
      </c>
      <c r="G15">
        <v>3.88</v>
      </c>
      <c r="H15">
        <v>20</v>
      </c>
      <c r="I15">
        <v>27</v>
      </c>
      <c r="J15">
        <v>131</v>
      </c>
      <c r="K15">
        <v>104</v>
      </c>
    </row>
    <row r="16" spans="1:11" x14ac:dyDescent="0.3">
      <c r="A16">
        <v>1.79</v>
      </c>
      <c r="B16" t="s">
        <v>70</v>
      </c>
      <c r="C16" t="s">
        <v>101</v>
      </c>
      <c r="D16" t="s">
        <v>72</v>
      </c>
      <c r="E16">
        <v>3</v>
      </c>
      <c r="F16" t="s">
        <v>102</v>
      </c>
      <c r="G16">
        <v>3.33</v>
      </c>
      <c r="H16">
        <v>17</v>
      </c>
      <c r="I16">
        <v>68</v>
      </c>
      <c r="J16">
        <v>111</v>
      </c>
      <c r="K16">
        <v>43</v>
      </c>
    </row>
    <row r="17" spans="1:11" x14ac:dyDescent="0.3">
      <c r="A17">
        <v>19.239999999999998</v>
      </c>
      <c r="B17" t="s">
        <v>70</v>
      </c>
      <c r="C17" t="s">
        <v>103</v>
      </c>
      <c r="D17" t="s">
        <v>80</v>
      </c>
      <c r="E17">
        <v>3</v>
      </c>
      <c r="F17" t="s">
        <v>104</v>
      </c>
      <c r="G17">
        <v>31.22</v>
      </c>
      <c r="H17">
        <v>13</v>
      </c>
      <c r="I17">
        <v>52</v>
      </c>
      <c r="J17">
        <v>68</v>
      </c>
      <c r="K17">
        <v>16</v>
      </c>
    </row>
    <row r="18" spans="1:11" x14ac:dyDescent="0.3">
      <c r="A18">
        <v>15.67</v>
      </c>
      <c r="B18" t="s">
        <v>70</v>
      </c>
      <c r="C18" t="s">
        <v>105</v>
      </c>
      <c r="D18" t="s">
        <v>80</v>
      </c>
      <c r="E18">
        <v>3</v>
      </c>
      <c r="F18" t="s">
        <v>106</v>
      </c>
      <c r="G18">
        <v>28.28</v>
      </c>
      <c r="H18">
        <v>41</v>
      </c>
      <c r="I18">
        <v>194</v>
      </c>
      <c r="J18">
        <v>323</v>
      </c>
      <c r="K18">
        <v>129</v>
      </c>
    </row>
    <row r="19" spans="1:11" x14ac:dyDescent="0.3">
      <c r="A19">
        <v>34.409999999999997</v>
      </c>
      <c r="B19" t="s">
        <v>70</v>
      </c>
      <c r="C19" t="s">
        <v>107</v>
      </c>
      <c r="D19" t="s">
        <v>93</v>
      </c>
      <c r="E19">
        <v>3</v>
      </c>
      <c r="F19" t="s">
        <v>108</v>
      </c>
      <c r="G19">
        <v>46.82</v>
      </c>
      <c r="H19">
        <v>8</v>
      </c>
      <c r="I19">
        <v>21</v>
      </c>
      <c r="J19">
        <v>59</v>
      </c>
      <c r="K19">
        <v>38</v>
      </c>
    </row>
    <row r="20" spans="1:11" x14ac:dyDescent="0.3">
      <c r="A20">
        <v>23.75</v>
      </c>
      <c r="B20" t="s">
        <v>70</v>
      </c>
      <c r="C20" t="s">
        <v>109</v>
      </c>
      <c r="D20" t="s">
        <v>87</v>
      </c>
      <c r="E20">
        <v>3</v>
      </c>
      <c r="F20" t="s">
        <v>110</v>
      </c>
      <c r="G20">
        <v>33.69</v>
      </c>
      <c r="H20">
        <v>12</v>
      </c>
      <c r="I20">
        <v>13</v>
      </c>
      <c r="J20">
        <v>61</v>
      </c>
      <c r="K20">
        <v>48</v>
      </c>
    </row>
    <row r="21" spans="1:11" x14ac:dyDescent="0.3">
      <c r="A21">
        <v>13.4</v>
      </c>
      <c r="B21" t="s">
        <v>70</v>
      </c>
      <c r="C21" t="s">
        <v>111</v>
      </c>
      <c r="D21" t="s">
        <v>87</v>
      </c>
      <c r="E21">
        <v>3</v>
      </c>
      <c r="F21" t="s">
        <v>112</v>
      </c>
      <c r="G21">
        <v>17.420000000000002</v>
      </c>
      <c r="H21">
        <v>60</v>
      </c>
      <c r="I21">
        <v>195</v>
      </c>
      <c r="J21">
        <v>353</v>
      </c>
      <c r="K21">
        <v>158</v>
      </c>
    </row>
    <row r="22" spans="1:11" x14ac:dyDescent="0.3">
      <c r="A22">
        <v>7.45</v>
      </c>
      <c r="B22" t="s">
        <v>70</v>
      </c>
      <c r="C22" t="s">
        <v>113</v>
      </c>
      <c r="D22" t="s">
        <v>80</v>
      </c>
      <c r="E22">
        <v>3</v>
      </c>
      <c r="F22" t="s">
        <v>114</v>
      </c>
      <c r="G22">
        <v>13.67</v>
      </c>
      <c r="H22">
        <v>14</v>
      </c>
      <c r="I22">
        <v>74</v>
      </c>
      <c r="J22">
        <v>130</v>
      </c>
      <c r="K22">
        <v>56</v>
      </c>
    </row>
    <row r="23" spans="1:11" x14ac:dyDescent="0.3">
      <c r="A23">
        <v>7.52</v>
      </c>
      <c r="B23" t="s">
        <v>70</v>
      </c>
      <c r="C23" t="s">
        <v>115</v>
      </c>
      <c r="D23" t="s">
        <v>77</v>
      </c>
      <c r="E23">
        <v>3</v>
      </c>
      <c r="F23" t="s">
        <v>116</v>
      </c>
      <c r="G23">
        <v>13.57</v>
      </c>
      <c r="H23">
        <v>33</v>
      </c>
      <c r="I23">
        <v>197</v>
      </c>
      <c r="J23">
        <v>296</v>
      </c>
      <c r="K23">
        <v>99</v>
      </c>
    </row>
    <row r="24" spans="1:11" x14ac:dyDescent="0.3">
      <c r="A24">
        <v>5.54</v>
      </c>
      <c r="B24" t="s">
        <v>70</v>
      </c>
      <c r="C24" t="s">
        <v>117</v>
      </c>
      <c r="D24" t="s">
        <v>72</v>
      </c>
      <c r="E24">
        <v>3</v>
      </c>
      <c r="F24" t="s">
        <v>118</v>
      </c>
      <c r="G24">
        <v>10.1</v>
      </c>
      <c r="H24">
        <v>19</v>
      </c>
      <c r="I24">
        <v>101</v>
      </c>
      <c r="J24">
        <v>148</v>
      </c>
      <c r="K24">
        <v>47</v>
      </c>
    </row>
    <row r="25" spans="1:11" x14ac:dyDescent="0.3">
      <c r="A25">
        <v>14.49</v>
      </c>
      <c r="B25" t="s">
        <v>70</v>
      </c>
      <c r="C25" t="s">
        <v>119</v>
      </c>
      <c r="D25" t="s">
        <v>83</v>
      </c>
      <c r="E25">
        <v>3</v>
      </c>
      <c r="F25" t="s">
        <v>120</v>
      </c>
      <c r="G25">
        <v>22.05</v>
      </c>
      <c r="H25">
        <v>25</v>
      </c>
      <c r="I25">
        <v>76</v>
      </c>
      <c r="J25">
        <v>198</v>
      </c>
      <c r="K25">
        <v>122</v>
      </c>
    </row>
    <row r="26" spans="1:11" x14ac:dyDescent="0.3">
      <c r="A26">
        <v>19.829999999999998</v>
      </c>
      <c r="B26" t="s">
        <v>70</v>
      </c>
      <c r="C26" t="s">
        <v>121</v>
      </c>
      <c r="D26" t="s">
        <v>87</v>
      </c>
      <c r="E26">
        <v>3</v>
      </c>
      <c r="F26" t="s">
        <v>122</v>
      </c>
      <c r="G26">
        <v>34.380000000000003</v>
      </c>
      <c r="H26">
        <v>54</v>
      </c>
      <c r="I26">
        <v>340</v>
      </c>
      <c r="J26">
        <v>433</v>
      </c>
      <c r="K26">
        <v>93</v>
      </c>
    </row>
    <row r="27" spans="1:11" x14ac:dyDescent="0.3">
      <c r="A27">
        <v>6.43</v>
      </c>
      <c r="B27" t="s">
        <v>70</v>
      </c>
      <c r="C27" t="s">
        <v>123</v>
      </c>
      <c r="D27" t="s">
        <v>77</v>
      </c>
      <c r="E27">
        <v>3</v>
      </c>
      <c r="F27" t="s">
        <v>116</v>
      </c>
      <c r="G27">
        <v>8.6999999999999993</v>
      </c>
      <c r="H27">
        <v>23</v>
      </c>
      <c r="I27">
        <v>91</v>
      </c>
      <c r="J27">
        <v>109</v>
      </c>
      <c r="K27">
        <v>18</v>
      </c>
    </row>
    <row r="28" spans="1:11" x14ac:dyDescent="0.3">
      <c r="A28">
        <v>32.11</v>
      </c>
      <c r="B28" t="s">
        <v>70</v>
      </c>
      <c r="C28" t="s">
        <v>124</v>
      </c>
      <c r="D28" t="s">
        <v>93</v>
      </c>
      <c r="E28">
        <v>3</v>
      </c>
      <c r="F28" t="s">
        <v>125</v>
      </c>
      <c r="G28">
        <v>54.76</v>
      </c>
      <c r="H28">
        <v>48</v>
      </c>
      <c r="I28">
        <v>118</v>
      </c>
      <c r="J28">
        <v>235</v>
      </c>
      <c r="K28">
        <v>117</v>
      </c>
    </row>
    <row r="29" spans="1:11" x14ac:dyDescent="0.3">
      <c r="A29">
        <v>55.07</v>
      </c>
      <c r="B29" t="s">
        <v>70</v>
      </c>
      <c r="C29" t="s">
        <v>126</v>
      </c>
      <c r="D29" t="s">
        <v>90</v>
      </c>
      <c r="E29">
        <v>3</v>
      </c>
      <c r="F29" t="s">
        <v>127</v>
      </c>
      <c r="G29">
        <v>119.6</v>
      </c>
      <c r="H29">
        <v>15</v>
      </c>
      <c r="I29">
        <v>55</v>
      </c>
      <c r="J29">
        <v>124</v>
      </c>
      <c r="K29">
        <v>69</v>
      </c>
    </row>
    <row r="30" spans="1:11" x14ac:dyDescent="0.3">
      <c r="A30">
        <v>13.72</v>
      </c>
      <c r="B30" t="s">
        <v>70</v>
      </c>
      <c r="C30" t="s">
        <v>128</v>
      </c>
      <c r="D30" t="s">
        <v>93</v>
      </c>
      <c r="E30">
        <v>3</v>
      </c>
      <c r="F30" t="s">
        <v>94</v>
      </c>
      <c r="G30">
        <v>27.54</v>
      </c>
      <c r="H30">
        <v>28</v>
      </c>
      <c r="I30">
        <v>136</v>
      </c>
      <c r="J30">
        <v>188</v>
      </c>
      <c r="K30">
        <v>52</v>
      </c>
    </row>
    <row r="31" spans="1:11" x14ac:dyDescent="0.3">
      <c r="A31">
        <v>25.19</v>
      </c>
      <c r="B31" t="s">
        <v>70</v>
      </c>
      <c r="C31" t="s">
        <v>129</v>
      </c>
      <c r="D31" t="s">
        <v>130</v>
      </c>
      <c r="E31">
        <v>3</v>
      </c>
      <c r="F31" t="s">
        <v>131</v>
      </c>
      <c r="G31">
        <v>43.52</v>
      </c>
      <c r="H31">
        <v>34</v>
      </c>
      <c r="I31">
        <v>184</v>
      </c>
      <c r="J31">
        <v>299</v>
      </c>
      <c r="K31">
        <v>115</v>
      </c>
    </row>
    <row r="32" spans="1:11" x14ac:dyDescent="0.3">
      <c r="A32">
        <v>57.8</v>
      </c>
      <c r="B32" t="s">
        <v>70</v>
      </c>
      <c r="C32" t="s">
        <v>132</v>
      </c>
      <c r="D32" t="s">
        <v>90</v>
      </c>
      <c r="E32">
        <v>3</v>
      </c>
      <c r="F32" t="s">
        <v>133</v>
      </c>
      <c r="G32">
        <v>87.89</v>
      </c>
      <c r="H32">
        <v>36</v>
      </c>
      <c r="I32">
        <v>132</v>
      </c>
      <c r="J32">
        <v>163</v>
      </c>
      <c r="K32">
        <v>31</v>
      </c>
    </row>
    <row r="33" spans="1:11" x14ac:dyDescent="0.3">
      <c r="A33">
        <v>10.87</v>
      </c>
      <c r="B33" t="s">
        <v>70</v>
      </c>
      <c r="C33" t="s">
        <v>134</v>
      </c>
      <c r="D33" t="s">
        <v>87</v>
      </c>
      <c r="E33">
        <v>3</v>
      </c>
      <c r="F33" t="s">
        <v>122</v>
      </c>
      <c r="G33">
        <v>20.72</v>
      </c>
      <c r="H33">
        <v>27</v>
      </c>
      <c r="I33">
        <v>34</v>
      </c>
      <c r="J33">
        <v>116</v>
      </c>
      <c r="K33">
        <v>82</v>
      </c>
    </row>
    <row r="34" spans="1:11" x14ac:dyDescent="0.3">
      <c r="A34">
        <v>11.47</v>
      </c>
      <c r="B34" t="s">
        <v>70</v>
      </c>
      <c r="C34" t="s">
        <v>135</v>
      </c>
      <c r="D34" t="s">
        <v>80</v>
      </c>
      <c r="E34">
        <v>3</v>
      </c>
      <c r="F34" t="s">
        <v>136</v>
      </c>
      <c r="G34">
        <v>20.239999999999998</v>
      </c>
      <c r="H34">
        <v>32</v>
      </c>
      <c r="I34">
        <v>172</v>
      </c>
      <c r="J34">
        <v>255</v>
      </c>
      <c r="K34">
        <v>83</v>
      </c>
    </row>
    <row r="35" spans="1:11" x14ac:dyDescent="0.3">
      <c r="A35">
        <v>3.48</v>
      </c>
      <c r="B35" t="s">
        <v>70</v>
      </c>
      <c r="C35" t="s">
        <v>137</v>
      </c>
      <c r="D35" t="s">
        <v>87</v>
      </c>
      <c r="E35">
        <v>3</v>
      </c>
      <c r="F35" t="s">
        <v>138</v>
      </c>
      <c r="G35">
        <v>4.6500000000000004</v>
      </c>
      <c r="H35">
        <v>45</v>
      </c>
      <c r="I35">
        <v>137</v>
      </c>
      <c r="J35">
        <v>384</v>
      </c>
      <c r="K35">
        <v>247</v>
      </c>
    </row>
    <row r="36" spans="1:11" x14ac:dyDescent="0.3">
      <c r="A36">
        <v>2.74</v>
      </c>
      <c r="B36" t="s">
        <v>70</v>
      </c>
      <c r="C36" t="s">
        <v>139</v>
      </c>
      <c r="D36" t="s">
        <v>77</v>
      </c>
      <c r="E36">
        <v>3</v>
      </c>
      <c r="F36" t="s">
        <v>140</v>
      </c>
      <c r="G36">
        <v>5.79</v>
      </c>
      <c r="H36">
        <v>5</v>
      </c>
      <c r="I36">
        <v>26</v>
      </c>
      <c r="J36">
        <v>48</v>
      </c>
      <c r="K36">
        <v>22</v>
      </c>
    </row>
    <row r="37" spans="1:11" x14ac:dyDescent="0.3">
      <c r="A37">
        <v>8.99</v>
      </c>
      <c r="B37" t="s">
        <v>70</v>
      </c>
      <c r="C37" t="s">
        <v>141</v>
      </c>
      <c r="D37" t="s">
        <v>72</v>
      </c>
      <c r="E37">
        <v>3</v>
      </c>
      <c r="F37" t="s">
        <v>73</v>
      </c>
      <c r="G37">
        <v>13.87</v>
      </c>
      <c r="H37">
        <v>100</v>
      </c>
      <c r="I37">
        <v>146</v>
      </c>
      <c r="J37">
        <v>480</v>
      </c>
      <c r="K37">
        <v>334</v>
      </c>
    </row>
    <row r="38" spans="1:11" x14ac:dyDescent="0.3">
      <c r="A38">
        <v>29.92</v>
      </c>
      <c r="B38" t="s">
        <v>70</v>
      </c>
      <c r="C38" t="s">
        <v>142</v>
      </c>
      <c r="D38" t="s">
        <v>130</v>
      </c>
      <c r="E38">
        <v>3</v>
      </c>
      <c r="F38" t="s">
        <v>143</v>
      </c>
      <c r="G38">
        <v>40.799999999999997</v>
      </c>
      <c r="H38">
        <v>40</v>
      </c>
      <c r="I38">
        <v>46</v>
      </c>
      <c r="J38">
        <v>212</v>
      </c>
      <c r="K38">
        <v>166</v>
      </c>
    </row>
    <row r="39" spans="1:11" x14ac:dyDescent="0.3">
      <c r="A39">
        <v>42.3</v>
      </c>
      <c r="B39" t="s">
        <v>70</v>
      </c>
      <c r="C39" t="s">
        <v>144</v>
      </c>
      <c r="D39" t="s">
        <v>90</v>
      </c>
      <c r="E39">
        <v>3</v>
      </c>
      <c r="F39" t="s">
        <v>127</v>
      </c>
      <c r="G39">
        <v>92.89</v>
      </c>
      <c r="H39">
        <v>35</v>
      </c>
      <c r="I39">
        <v>119</v>
      </c>
      <c r="J39">
        <v>288</v>
      </c>
      <c r="K39">
        <v>169</v>
      </c>
    </row>
    <row r="40" spans="1:11" x14ac:dyDescent="0.3">
      <c r="A40">
        <v>23.19</v>
      </c>
      <c r="B40" t="s">
        <v>70</v>
      </c>
      <c r="C40" t="s">
        <v>145</v>
      </c>
      <c r="D40" t="s">
        <v>72</v>
      </c>
      <c r="E40">
        <v>3</v>
      </c>
      <c r="F40" t="s">
        <v>75</v>
      </c>
      <c r="G40">
        <v>39.67</v>
      </c>
      <c r="H40">
        <v>14</v>
      </c>
      <c r="I40">
        <v>92</v>
      </c>
      <c r="J40">
        <v>121</v>
      </c>
      <c r="K40">
        <v>29</v>
      </c>
    </row>
    <row r="41" spans="1:11" x14ac:dyDescent="0.3">
      <c r="A41">
        <v>20.93</v>
      </c>
      <c r="B41" t="s">
        <v>70</v>
      </c>
      <c r="C41" t="s">
        <v>146</v>
      </c>
      <c r="D41" t="s">
        <v>87</v>
      </c>
      <c r="E41">
        <v>3</v>
      </c>
      <c r="F41" t="s">
        <v>147</v>
      </c>
      <c r="G41">
        <v>36.58</v>
      </c>
      <c r="H41">
        <v>37</v>
      </c>
      <c r="I41">
        <v>240</v>
      </c>
      <c r="J41">
        <v>356</v>
      </c>
      <c r="K41">
        <v>116</v>
      </c>
    </row>
    <row r="42" spans="1:11" x14ac:dyDescent="0.3">
      <c r="A42">
        <v>5.01</v>
      </c>
      <c r="B42" t="s">
        <v>70</v>
      </c>
      <c r="C42" t="s">
        <v>148</v>
      </c>
      <c r="D42" t="s">
        <v>90</v>
      </c>
      <c r="E42">
        <v>3</v>
      </c>
      <c r="F42" t="s">
        <v>149</v>
      </c>
      <c r="G42">
        <v>6.53</v>
      </c>
      <c r="H42">
        <v>52</v>
      </c>
      <c r="I42">
        <v>154</v>
      </c>
      <c r="J42">
        <v>286</v>
      </c>
      <c r="K42">
        <v>132</v>
      </c>
    </row>
    <row r="43" spans="1:11" x14ac:dyDescent="0.3">
      <c r="A43">
        <v>14.61</v>
      </c>
      <c r="B43" t="s">
        <v>70</v>
      </c>
      <c r="C43" t="s">
        <v>150</v>
      </c>
      <c r="D43" t="s">
        <v>72</v>
      </c>
      <c r="E43">
        <v>3</v>
      </c>
      <c r="F43" t="s">
        <v>96</v>
      </c>
      <c r="G43">
        <v>19.39</v>
      </c>
      <c r="H43">
        <v>5</v>
      </c>
      <c r="I43">
        <v>23</v>
      </c>
      <c r="J43">
        <v>32</v>
      </c>
      <c r="K43">
        <v>9</v>
      </c>
    </row>
    <row r="44" spans="1:11" x14ac:dyDescent="0.3">
      <c r="A44">
        <v>8.24</v>
      </c>
      <c r="B44" t="s">
        <v>70</v>
      </c>
      <c r="C44" t="s">
        <v>151</v>
      </c>
      <c r="D44" t="s">
        <v>77</v>
      </c>
      <c r="E44">
        <v>3</v>
      </c>
      <c r="F44" t="s">
        <v>152</v>
      </c>
      <c r="G44">
        <v>16.43</v>
      </c>
      <c r="H44">
        <v>37</v>
      </c>
      <c r="I44">
        <v>177</v>
      </c>
      <c r="J44">
        <v>247</v>
      </c>
      <c r="K44">
        <v>70</v>
      </c>
    </row>
    <row r="45" spans="1:11" x14ac:dyDescent="0.3">
      <c r="A45">
        <v>4.7699999999999996</v>
      </c>
      <c r="B45" t="s">
        <v>70</v>
      </c>
      <c r="C45" t="s">
        <v>153</v>
      </c>
      <c r="D45" t="s">
        <v>130</v>
      </c>
      <c r="E45">
        <v>3</v>
      </c>
      <c r="F45" t="s">
        <v>154</v>
      </c>
      <c r="G45">
        <v>8.43</v>
      </c>
      <c r="H45">
        <v>53</v>
      </c>
      <c r="I45">
        <v>284</v>
      </c>
      <c r="J45">
        <v>429</v>
      </c>
      <c r="K45">
        <v>145</v>
      </c>
    </row>
    <row r="46" spans="1:11" x14ac:dyDescent="0.3">
      <c r="A46">
        <v>26.22</v>
      </c>
      <c r="B46" t="s">
        <v>70</v>
      </c>
      <c r="C46" t="s">
        <v>155</v>
      </c>
      <c r="D46" t="s">
        <v>93</v>
      </c>
      <c r="E46">
        <v>3</v>
      </c>
      <c r="F46" t="s">
        <v>156</v>
      </c>
      <c r="G46">
        <v>52.34</v>
      </c>
      <c r="H46">
        <v>62</v>
      </c>
      <c r="I46">
        <v>298</v>
      </c>
      <c r="J46">
        <v>403</v>
      </c>
      <c r="K46">
        <v>105</v>
      </c>
    </row>
    <row r="47" spans="1:11" x14ac:dyDescent="0.3">
      <c r="A47">
        <v>24.51</v>
      </c>
      <c r="B47" t="s">
        <v>70</v>
      </c>
      <c r="C47" t="s">
        <v>157</v>
      </c>
      <c r="D47" t="s">
        <v>87</v>
      </c>
      <c r="E47">
        <v>3</v>
      </c>
      <c r="F47" t="s">
        <v>138</v>
      </c>
      <c r="G47">
        <v>41</v>
      </c>
      <c r="H47">
        <v>50</v>
      </c>
      <c r="I47">
        <v>229</v>
      </c>
      <c r="J47">
        <v>276</v>
      </c>
      <c r="K47">
        <v>47</v>
      </c>
    </row>
    <row r="48" spans="1:11" x14ac:dyDescent="0.3">
      <c r="A48">
        <v>12.29</v>
      </c>
      <c r="B48" t="s">
        <v>70</v>
      </c>
      <c r="C48" t="s">
        <v>158</v>
      </c>
      <c r="D48" t="s">
        <v>90</v>
      </c>
      <c r="E48">
        <v>3</v>
      </c>
      <c r="F48" t="s">
        <v>91</v>
      </c>
      <c r="G48">
        <v>24.56</v>
      </c>
      <c r="H48">
        <v>26</v>
      </c>
      <c r="I48">
        <v>93</v>
      </c>
      <c r="J48">
        <v>114</v>
      </c>
      <c r="K48">
        <v>21</v>
      </c>
    </row>
    <row r="49" spans="1:11" x14ac:dyDescent="0.3">
      <c r="A49">
        <v>4.76</v>
      </c>
      <c r="B49" t="s">
        <v>70</v>
      </c>
      <c r="C49" t="s">
        <v>159</v>
      </c>
      <c r="D49" t="s">
        <v>80</v>
      </c>
      <c r="E49">
        <v>3</v>
      </c>
      <c r="F49" t="s">
        <v>160</v>
      </c>
      <c r="G49">
        <v>9.73</v>
      </c>
      <c r="H49">
        <v>26</v>
      </c>
      <c r="I49">
        <v>73</v>
      </c>
      <c r="J49">
        <v>134</v>
      </c>
      <c r="K49">
        <v>61</v>
      </c>
    </row>
    <row r="50" spans="1:11" x14ac:dyDescent="0.3">
      <c r="A50">
        <v>12.58</v>
      </c>
      <c r="B50" t="s">
        <v>70</v>
      </c>
      <c r="C50" t="s">
        <v>161</v>
      </c>
      <c r="D50" t="s">
        <v>80</v>
      </c>
      <c r="E50">
        <v>3</v>
      </c>
      <c r="F50" t="s">
        <v>81</v>
      </c>
      <c r="G50">
        <v>18.66</v>
      </c>
      <c r="H50">
        <v>68</v>
      </c>
      <c r="I50">
        <v>157</v>
      </c>
      <c r="J50">
        <v>297</v>
      </c>
      <c r="K50">
        <v>140</v>
      </c>
    </row>
    <row r="51" spans="1:11" x14ac:dyDescent="0.3">
      <c r="A51">
        <v>46.92</v>
      </c>
      <c r="B51" t="s">
        <v>70</v>
      </c>
      <c r="C51" t="s">
        <v>162</v>
      </c>
      <c r="D51" t="s">
        <v>90</v>
      </c>
      <c r="E51">
        <v>3</v>
      </c>
      <c r="F51" t="s">
        <v>91</v>
      </c>
      <c r="G51">
        <v>82.79</v>
      </c>
      <c r="H51">
        <v>11</v>
      </c>
      <c r="I51">
        <v>67</v>
      </c>
      <c r="J51">
        <v>110</v>
      </c>
      <c r="K51">
        <v>43</v>
      </c>
    </row>
    <row r="52" spans="1:11" x14ac:dyDescent="0.3">
      <c r="A52">
        <v>21.41</v>
      </c>
      <c r="B52" t="s">
        <v>70</v>
      </c>
      <c r="C52" t="s">
        <v>163</v>
      </c>
      <c r="D52" t="s">
        <v>90</v>
      </c>
      <c r="E52">
        <v>3</v>
      </c>
      <c r="F52" t="s">
        <v>164</v>
      </c>
      <c r="G52">
        <v>46.97</v>
      </c>
      <c r="H52">
        <v>3</v>
      </c>
      <c r="I52">
        <v>21</v>
      </c>
      <c r="J52">
        <v>35</v>
      </c>
      <c r="K52">
        <v>14</v>
      </c>
    </row>
    <row r="53" spans="1:11" x14ac:dyDescent="0.3">
      <c r="A53">
        <v>17.149999999999999</v>
      </c>
      <c r="B53" t="s">
        <v>70</v>
      </c>
      <c r="C53" t="s">
        <v>165</v>
      </c>
      <c r="D53" t="s">
        <v>93</v>
      </c>
      <c r="E53">
        <v>3</v>
      </c>
      <c r="F53" t="s">
        <v>166</v>
      </c>
      <c r="G53">
        <v>33.82</v>
      </c>
      <c r="H53">
        <v>64</v>
      </c>
      <c r="I53">
        <v>399</v>
      </c>
      <c r="J53">
        <v>459</v>
      </c>
      <c r="K53">
        <v>60</v>
      </c>
    </row>
    <row r="54" spans="1:11" x14ac:dyDescent="0.3">
      <c r="A54">
        <v>2.44</v>
      </c>
      <c r="B54" t="s">
        <v>70</v>
      </c>
      <c r="C54" t="s">
        <v>167</v>
      </c>
      <c r="D54" t="s">
        <v>72</v>
      </c>
      <c r="E54">
        <v>3</v>
      </c>
      <c r="F54" t="s">
        <v>168</v>
      </c>
      <c r="G54">
        <v>4.78</v>
      </c>
      <c r="H54">
        <v>72</v>
      </c>
      <c r="I54">
        <v>216</v>
      </c>
      <c r="J54">
        <v>344</v>
      </c>
      <c r="K54">
        <v>128</v>
      </c>
    </row>
    <row r="55" spans="1:11" x14ac:dyDescent="0.3">
      <c r="A55">
        <v>16.77</v>
      </c>
      <c r="B55" t="s">
        <v>70</v>
      </c>
      <c r="C55" t="s">
        <v>169</v>
      </c>
      <c r="D55" t="s">
        <v>93</v>
      </c>
      <c r="E55">
        <v>3</v>
      </c>
      <c r="F55" t="s">
        <v>108</v>
      </c>
      <c r="G55">
        <v>28.37</v>
      </c>
      <c r="H55">
        <v>8</v>
      </c>
      <c r="I55">
        <v>37</v>
      </c>
      <c r="J55">
        <v>46</v>
      </c>
      <c r="K55">
        <v>9</v>
      </c>
    </row>
    <row r="56" spans="1:11" x14ac:dyDescent="0.3">
      <c r="A56">
        <v>31.33</v>
      </c>
      <c r="B56" t="s">
        <v>70</v>
      </c>
      <c r="C56" t="s">
        <v>170</v>
      </c>
      <c r="D56" t="s">
        <v>93</v>
      </c>
      <c r="E56">
        <v>3</v>
      </c>
      <c r="F56" t="s">
        <v>171</v>
      </c>
      <c r="G56">
        <v>56.12</v>
      </c>
      <c r="H56">
        <v>48</v>
      </c>
      <c r="I56">
        <v>219</v>
      </c>
      <c r="J56">
        <v>264</v>
      </c>
      <c r="K56">
        <v>45</v>
      </c>
    </row>
    <row r="57" spans="1:11" x14ac:dyDescent="0.3">
      <c r="A57">
        <v>19.86</v>
      </c>
      <c r="B57" t="s">
        <v>70</v>
      </c>
      <c r="C57" t="s">
        <v>172</v>
      </c>
      <c r="D57" t="s">
        <v>130</v>
      </c>
      <c r="E57">
        <v>3</v>
      </c>
      <c r="F57" t="s">
        <v>173</v>
      </c>
      <c r="G57">
        <v>27.54</v>
      </c>
      <c r="H57">
        <v>47</v>
      </c>
      <c r="I57">
        <v>202</v>
      </c>
      <c r="J57">
        <v>450</v>
      </c>
      <c r="K57">
        <v>248</v>
      </c>
    </row>
    <row r="58" spans="1:11" x14ac:dyDescent="0.3">
      <c r="A58">
        <v>2.84</v>
      </c>
      <c r="B58" t="s">
        <v>70</v>
      </c>
      <c r="C58" t="s">
        <v>174</v>
      </c>
      <c r="D58" t="s">
        <v>83</v>
      </c>
      <c r="E58">
        <v>3</v>
      </c>
      <c r="F58" t="s">
        <v>175</v>
      </c>
      <c r="G58">
        <v>4.43</v>
      </c>
      <c r="H58">
        <v>56</v>
      </c>
      <c r="I58">
        <v>300</v>
      </c>
      <c r="J58">
        <v>350</v>
      </c>
      <c r="K58">
        <v>50</v>
      </c>
    </row>
    <row r="59" spans="1:11" x14ac:dyDescent="0.3">
      <c r="A59">
        <v>44.74</v>
      </c>
      <c r="B59" t="s">
        <v>70</v>
      </c>
      <c r="C59" t="s">
        <v>176</v>
      </c>
      <c r="D59" t="s">
        <v>90</v>
      </c>
      <c r="E59">
        <v>3</v>
      </c>
      <c r="F59" t="s">
        <v>177</v>
      </c>
      <c r="G59">
        <v>69.59</v>
      </c>
      <c r="H59">
        <v>83</v>
      </c>
      <c r="I59">
        <v>165</v>
      </c>
      <c r="J59">
        <v>480</v>
      </c>
      <c r="K59">
        <v>315</v>
      </c>
    </row>
    <row r="60" spans="1:11" x14ac:dyDescent="0.3">
      <c r="A60">
        <v>23.3</v>
      </c>
      <c r="B60" t="s">
        <v>70</v>
      </c>
      <c r="C60" t="s">
        <v>178</v>
      </c>
      <c r="D60" t="s">
        <v>87</v>
      </c>
      <c r="E60">
        <v>3</v>
      </c>
      <c r="F60" t="s">
        <v>88</v>
      </c>
      <c r="G60">
        <v>45.52</v>
      </c>
      <c r="H60">
        <v>93</v>
      </c>
      <c r="I60">
        <v>244</v>
      </c>
      <c r="J60">
        <v>498</v>
      </c>
      <c r="K60">
        <v>254</v>
      </c>
    </row>
    <row r="61" spans="1:11" x14ac:dyDescent="0.3">
      <c r="A61">
        <v>3.5</v>
      </c>
      <c r="B61" t="s">
        <v>70</v>
      </c>
      <c r="C61" t="s">
        <v>179</v>
      </c>
      <c r="D61" t="s">
        <v>77</v>
      </c>
      <c r="E61">
        <v>3</v>
      </c>
      <c r="F61" t="s">
        <v>180</v>
      </c>
      <c r="G61">
        <v>7.3</v>
      </c>
      <c r="H61">
        <v>24</v>
      </c>
      <c r="I61">
        <v>26</v>
      </c>
      <c r="J61">
        <v>134</v>
      </c>
      <c r="K61">
        <v>108</v>
      </c>
    </row>
    <row r="62" spans="1:11" x14ac:dyDescent="0.3">
      <c r="A62">
        <v>10.76</v>
      </c>
      <c r="B62" t="s">
        <v>70</v>
      </c>
      <c r="C62" t="s">
        <v>181</v>
      </c>
      <c r="D62" t="s">
        <v>83</v>
      </c>
      <c r="E62">
        <v>3</v>
      </c>
      <c r="F62" t="s">
        <v>175</v>
      </c>
      <c r="G62">
        <v>14.5</v>
      </c>
      <c r="H62">
        <v>11</v>
      </c>
      <c r="I62">
        <v>67</v>
      </c>
      <c r="J62">
        <v>85</v>
      </c>
      <c r="K62">
        <v>18</v>
      </c>
    </row>
    <row r="63" spans="1:11" x14ac:dyDescent="0.3">
      <c r="A63">
        <v>19.690000000000001</v>
      </c>
      <c r="B63" t="s">
        <v>70</v>
      </c>
      <c r="C63" t="s">
        <v>182</v>
      </c>
      <c r="D63" t="s">
        <v>72</v>
      </c>
      <c r="E63">
        <v>3</v>
      </c>
      <c r="F63" t="s">
        <v>118</v>
      </c>
      <c r="G63">
        <v>39.54</v>
      </c>
      <c r="H63">
        <v>12</v>
      </c>
      <c r="I63">
        <v>60</v>
      </c>
      <c r="J63">
        <v>81</v>
      </c>
      <c r="K63">
        <v>21</v>
      </c>
    </row>
    <row r="64" spans="1:11" x14ac:dyDescent="0.3">
      <c r="A64">
        <v>15.4</v>
      </c>
      <c r="B64" t="s">
        <v>70</v>
      </c>
      <c r="C64" t="s">
        <v>183</v>
      </c>
      <c r="D64" t="s">
        <v>72</v>
      </c>
      <c r="E64">
        <v>3</v>
      </c>
      <c r="F64" t="s">
        <v>118</v>
      </c>
      <c r="G64">
        <v>21.05</v>
      </c>
      <c r="H64">
        <v>72</v>
      </c>
      <c r="I64">
        <v>158</v>
      </c>
      <c r="J64">
        <v>391</v>
      </c>
      <c r="K64">
        <v>233</v>
      </c>
    </row>
    <row r="65" spans="1:11" x14ac:dyDescent="0.3">
      <c r="A65">
        <v>24.56</v>
      </c>
      <c r="B65" t="s">
        <v>70</v>
      </c>
      <c r="C65" t="s">
        <v>184</v>
      </c>
      <c r="D65" t="s">
        <v>130</v>
      </c>
      <c r="E65">
        <v>3</v>
      </c>
      <c r="F65" t="s">
        <v>143</v>
      </c>
      <c r="G65">
        <v>33.200000000000003</v>
      </c>
      <c r="H65">
        <v>80</v>
      </c>
      <c r="I65">
        <v>112</v>
      </c>
      <c r="J65">
        <v>364</v>
      </c>
      <c r="K65">
        <v>252</v>
      </c>
    </row>
    <row r="66" spans="1:11" x14ac:dyDescent="0.3">
      <c r="A66">
        <v>14.69</v>
      </c>
      <c r="B66" t="s">
        <v>70</v>
      </c>
      <c r="C66" t="s">
        <v>185</v>
      </c>
      <c r="D66" t="s">
        <v>80</v>
      </c>
      <c r="E66">
        <v>3</v>
      </c>
      <c r="F66" t="s">
        <v>186</v>
      </c>
      <c r="G66">
        <v>29.48</v>
      </c>
      <c r="H66">
        <v>64</v>
      </c>
      <c r="I66">
        <v>288</v>
      </c>
      <c r="J66">
        <v>343</v>
      </c>
      <c r="K66">
        <v>55</v>
      </c>
    </row>
    <row r="67" spans="1:11" x14ac:dyDescent="0.3">
      <c r="A67">
        <v>17.3</v>
      </c>
      <c r="B67" t="s">
        <v>70</v>
      </c>
      <c r="C67" t="s">
        <v>187</v>
      </c>
      <c r="D67" t="s">
        <v>93</v>
      </c>
      <c r="E67">
        <v>3</v>
      </c>
      <c r="F67" t="s">
        <v>108</v>
      </c>
      <c r="G67">
        <v>29.07</v>
      </c>
      <c r="H67">
        <v>49</v>
      </c>
      <c r="I67">
        <v>54</v>
      </c>
      <c r="J67">
        <v>356</v>
      </c>
      <c r="K67">
        <v>302</v>
      </c>
    </row>
    <row r="68" spans="1:11" x14ac:dyDescent="0.3">
      <c r="A68">
        <v>67.91</v>
      </c>
      <c r="B68" t="s">
        <v>70</v>
      </c>
      <c r="C68" t="s">
        <v>188</v>
      </c>
      <c r="D68" t="s">
        <v>90</v>
      </c>
      <c r="E68">
        <v>3</v>
      </c>
      <c r="F68" t="s">
        <v>189</v>
      </c>
      <c r="G68">
        <v>106.24</v>
      </c>
      <c r="H68">
        <v>59</v>
      </c>
      <c r="I68">
        <v>95</v>
      </c>
      <c r="J68">
        <v>284</v>
      </c>
      <c r="K68">
        <v>189</v>
      </c>
    </row>
    <row r="69" spans="1:11" x14ac:dyDescent="0.3">
      <c r="A69">
        <v>72.36</v>
      </c>
      <c r="B69" t="s">
        <v>70</v>
      </c>
      <c r="C69" t="s">
        <v>190</v>
      </c>
      <c r="D69" t="s">
        <v>90</v>
      </c>
      <c r="E69">
        <v>3</v>
      </c>
      <c r="F69" t="s">
        <v>177</v>
      </c>
      <c r="G69">
        <v>149.33000000000001</v>
      </c>
      <c r="H69">
        <v>22</v>
      </c>
      <c r="I69">
        <v>88</v>
      </c>
      <c r="J69">
        <v>122</v>
      </c>
      <c r="K69">
        <v>34</v>
      </c>
    </row>
    <row r="70" spans="1:11" x14ac:dyDescent="0.3">
      <c r="A70">
        <v>2.38</v>
      </c>
      <c r="B70" t="s">
        <v>70</v>
      </c>
      <c r="C70" t="s">
        <v>191</v>
      </c>
      <c r="D70" t="s">
        <v>130</v>
      </c>
      <c r="E70">
        <v>3</v>
      </c>
      <c r="F70" t="s">
        <v>192</v>
      </c>
      <c r="G70">
        <v>4.92</v>
      </c>
      <c r="H70">
        <v>88</v>
      </c>
      <c r="I70">
        <v>95</v>
      </c>
      <c r="J70">
        <v>357</v>
      </c>
      <c r="K70">
        <v>262</v>
      </c>
    </row>
    <row r="71" spans="1:11" x14ac:dyDescent="0.3">
      <c r="A71">
        <v>13.13</v>
      </c>
      <c r="B71" t="s">
        <v>70</v>
      </c>
      <c r="C71" t="s">
        <v>193</v>
      </c>
      <c r="D71" t="s">
        <v>93</v>
      </c>
      <c r="E71">
        <v>3</v>
      </c>
      <c r="F71" t="s">
        <v>94</v>
      </c>
      <c r="G71">
        <v>25.28</v>
      </c>
      <c r="H71">
        <v>56</v>
      </c>
      <c r="I71">
        <v>65</v>
      </c>
      <c r="J71">
        <v>414</v>
      </c>
      <c r="K71">
        <v>349</v>
      </c>
    </row>
    <row r="72" spans="1:11" x14ac:dyDescent="0.3">
      <c r="A72">
        <v>7.09</v>
      </c>
      <c r="B72" t="s">
        <v>70</v>
      </c>
      <c r="C72" t="s">
        <v>194</v>
      </c>
      <c r="D72" t="s">
        <v>72</v>
      </c>
      <c r="E72">
        <v>3</v>
      </c>
      <c r="F72" t="s">
        <v>118</v>
      </c>
      <c r="G72">
        <v>9.4</v>
      </c>
      <c r="H72">
        <v>7</v>
      </c>
      <c r="I72">
        <v>38</v>
      </c>
      <c r="J72">
        <v>63</v>
      </c>
      <c r="K72">
        <v>25</v>
      </c>
    </row>
    <row r="73" spans="1:11" x14ac:dyDescent="0.3">
      <c r="A73">
        <v>15.91</v>
      </c>
      <c r="B73" t="s">
        <v>70</v>
      </c>
      <c r="C73" t="s">
        <v>195</v>
      </c>
      <c r="D73" t="s">
        <v>80</v>
      </c>
      <c r="E73">
        <v>3</v>
      </c>
      <c r="F73" t="s">
        <v>98</v>
      </c>
      <c r="G73">
        <v>23.72</v>
      </c>
      <c r="H73">
        <v>44</v>
      </c>
      <c r="I73">
        <v>311</v>
      </c>
      <c r="J73">
        <v>419</v>
      </c>
      <c r="K73">
        <v>108</v>
      </c>
    </row>
    <row r="74" spans="1:11" x14ac:dyDescent="0.3">
      <c r="A74">
        <v>24.57</v>
      </c>
      <c r="B74" t="s">
        <v>70</v>
      </c>
      <c r="C74" t="s">
        <v>196</v>
      </c>
      <c r="D74" t="s">
        <v>72</v>
      </c>
      <c r="E74">
        <v>3</v>
      </c>
      <c r="F74" t="s">
        <v>197</v>
      </c>
      <c r="G74">
        <v>36.979999999999997</v>
      </c>
      <c r="H74">
        <v>45</v>
      </c>
      <c r="I74">
        <v>102</v>
      </c>
      <c r="J74">
        <v>213</v>
      </c>
      <c r="K74">
        <v>111</v>
      </c>
    </row>
    <row r="75" spans="1:11" x14ac:dyDescent="0.3">
      <c r="A75">
        <v>21.98</v>
      </c>
      <c r="B75" t="s">
        <v>70</v>
      </c>
      <c r="C75" t="s">
        <v>198</v>
      </c>
      <c r="D75" t="s">
        <v>93</v>
      </c>
      <c r="E75">
        <v>3</v>
      </c>
      <c r="F75" t="s">
        <v>171</v>
      </c>
      <c r="G75">
        <v>29.07</v>
      </c>
      <c r="H75">
        <v>23</v>
      </c>
      <c r="I75">
        <v>118</v>
      </c>
      <c r="J75">
        <v>228</v>
      </c>
      <c r="K75">
        <v>110</v>
      </c>
    </row>
    <row r="76" spans="1:11" x14ac:dyDescent="0.3">
      <c r="A76">
        <v>7.94</v>
      </c>
      <c r="B76" t="s">
        <v>70</v>
      </c>
      <c r="C76" t="s">
        <v>199</v>
      </c>
      <c r="D76" t="s">
        <v>72</v>
      </c>
      <c r="E76">
        <v>3</v>
      </c>
      <c r="F76" t="s">
        <v>168</v>
      </c>
      <c r="G76">
        <v>14.96</v>
      </c>
      <c r="H76">
        <v>20</v>
      </c>
      <c r="I76">
        <v>49</v>
      </c>
      <c r="J76">
        <v>153</v>
      </c>
      <c r="K76">
        <v>104</v>
      </c>
    </row>
    <row r="77" spans="1:11" x14ac:dyDescent="0.3">
      <c r="A77">
        <v>27.61</v>
      </c>
      <c r="B77" t="s">
        <v>70</v>
      </c>
      <c r="C77" t="s">
        <v>200</v>
      </c>
      <c r="D77" t="s">
        <v>130</v>
      </c>
      <c r="E77">
        <v>3</v>
      </c>
      <c r="F77" t="s">
        <v>131</v>
      </c>
      <c r="G77">
        <v>56.91</v>
      </c>
      <c r="H77">
        <v>78</v>
      </c>
      <c r="I77">
        <v>157</v>
      </c>
      <c r="J77">
        <v>338</v>
      </c>
      <c r="K77">
        <v>181</v>
      </c>
    </row>
    <row r="78" spans="1:11" x14ac:dyDescent="0.3">
      <c r="A78">
        <v>1.8</v>
      </c>
      <c r="B78" t="s">
        <v>70</v>
      </c>
      <c r="C78" t="s">
        <v>201</v>
      </c>
      <c r="D78" t="s">
        <v>83</v>
      </c>
      <c r="E78">
        <v>3</v>
      </c>
      <c r="F78" t="s">
        <v>202</v>
      </c>
      <c r="G78">
        <v>2.76</v>
      </c>
      <c r="H78">
        <v>32</v>
      </c>
      <c r="I78">
        <v>175</v>
      </c>
      <c r="J78">
        <v>233</v>
      </c>
      <c r="K78">
        <v>58</v>
      </c>
    </row>
    <row r="79" spans="1:11" x14ac:dyDescent="0.3">
      <c r="A79">
        <v>12.81</v>
      </c>
      <c r="B79" t="s">
        <v>70</v>
      </c>
      <c r="C79" t="s">
        <v>203</v>
      </c>
      <c r="D79" t="s">
        <v>83</v>
      </c>
      <c r="E79">
        <v>3</v>
      </c>
      <c r="F79" t="s">
        <v>175</v>
      </c>
      <c r="G79">
        <v>24.49</v>
      </c>
      <c r="H79">
        <v>41</v>
      </c>
      <c r="I79">
        <v>147</v>
      </c>
      <c r="J79">
        <v>261</v>
      </c>
      <c r="K79">
        <v>114</v>
      </c>
    </row>
    <row r="80" spans="1:11" x14ac:dyDescent="0.3">
      <c r="A80">
        <v>24.6</v>
      </c>
      <c r="B80" t="s">
        <v>70</v>
      </c>
      <c r="C80" t="s">
        <v>204</v>
      </c>
      <c r="D80" t="s">
        <v>87</v>
      </c>
      <c r="E80">
        <v>3</v>
      </c>
      <c r="F80" t="s">
        <v>122</v>
      </c>
      <c r="G80">
        <v>46.22</v>
      </c>
      <c r="H80">
        <v>88</v>
      </c>
      <c r="I80">
        <v>255</v>
      </c>
      <c r="J80">
        <v>371</v>
      </c>
      <c r="K80">
        <v>116</v>
      </c>
    </row>
    <row r="81" spans="1:11" x14ac:dyDescent="0.3">
      <c r="A81">
        <v>5.99</v>
      </c>
      <c r="B81" t="s">
        <v>70</v>
      </c>
      <c r="C81" t="s">
        <v>205</v>
      </c>
      <c r="D81" t="s">
        <v>83</v>
      </c>
      <c r="E81">
        <v>3</v>
      </c>
      <c r="F81" t="s">
        <v>206</v>
      </c>
      <c r="G81">
        <v>8.01</v>
      </c>
      <c r="H81">
        <v>74</v>
      </c>
      <c r="I81">
        <v>263</v>
      </c>
      <c r="J81">
        <v>384</v>
      </c>
      <c r="K81">
        <v>121</v>
      </c>
    </row>
    <row r="82" spans="1:11" x14ac:dyDescent="0.3">
      <c r="A82">
        <v>13.53</v>
      </c>
      <c r="B82" t="s">
        <v>70</v>
      </c>
      <c r="C82" t="s">
        <v>207</v>
      </c>
      <c r="D82" t="s">
        <v>87</v>
      </c>
      <c r="E82">
        <v>3</v>
      </c>
      <c r="F82" t="s">
        <v>112</v>
      </c>
      <c r="G82">
        <v>22.63</v>
      </c>
      <c r="H82">
        <v>32</v>
      </c>
      <c r="I82">
        <v>139</v>
      </c>
      <c r="J82">
        <v>202</v>
      </c>
      <c r="K82">
        <v>63</v>
      </c>
    </row>
    <row r="83" spans="1:11" x14ac:dyDescent="0.3">
      <c r="A83">
        <v>6.31</v>
      </c>
      <c r="B83" t="s">
        <v>70</v>
      </c>
      <c r="C83" t="s">
        <v>208</v>
      </c>
      <c r="D83" t="s">
        <v>80</v>
      </c>
      <c r="E83">
        <v>3</v>
      </c>
      <c r="F83" t="s">
        <v>104</v>
      </c>
      <c r="G83">
        <v>9.4700000000000006</v>
      </c>
      <c r="H83">
        <v>20</v>
      </c>
      <c r="I83">
        <v>127</v>
      </c>
      <c r="J83">
        <v>179</v>
      </c>
      <c r="K83">
        <v>52</v>
      </c>
    </row>
    <row r="84" spans="1:11" x14ac:dyDescent="0.3">
      <c r="A84">
        <v>14.93</v>
      </c>
      <c r="B84" t="s">
        <v>70</v>
      </c>
      <c r="C84" t="s">
        <v>209</v>
      </c>
      <c r="D84" t="s">
        <v>83</v>
      </c>
      <c r="E84">
        <v>3</v>
      </c>
      <c r="F84" t="s">
        <v>210</v>
      </c>
      <c r="G84">
        <v>28.54</v>
      </c>
      <c r="H84">
        <v>45</v>
      </c>
      <c r="I84">
        <v>52</v>
      </c>
      <c r="J84">
        <v>394</v>
      </c>
      <c r="K84">
        <v>342</v>
      </c>
    </row>
    <row r="85" spans="1:11" x14ac:dyDescent="0.3">
      <c r="A85">
        <v>29.32</v>
      </c>
      <c r="B85" t="s">
        <v>70</v>
      </c>
      <c r="C85" t="s">
        <v>211</v>
      </c>
      <c r="D85" t="s">
        <v>90</v>
      </c>
      <c r="E85">
        <v>3</v>
      </c>
      <c r="F85" t="s">
        <v>177</v>
      </c>
      <c r="G85">
        <v>47.09</v>
      </c>
      <c r="H85">
        <v>29</v>
      </c>
      <c r="I85">
        <v>108</v>
      </c>
      <c r="J85">
        <v>247</v>
      </c>
      <c r="K85">
        <v>139</v>
      </c>
    </row>
    <row r="86" spans="1:11" x14ac:dyDescent="0.3">
      <c r="A86">
        <v>2.63</v>
      </c>
      <c r="B86" t="s">
        <v>70</v>
      </c>
      <c r="C86" t="s">
        <v>212</v>
      </c>
      <c r="D86" t="s">
        <v>80</v>
      </c>
      <c r="E86">
        <v>3</v>
      </c>
      <c r="F86" t="s">
        <v>104</v>
      </c>
      <c r="G86">
        <v>5</v>
      </c>
      <c r="H86">
        <v>18</v>
      </c>
      <c r="I86">
        <v>68</v>
      </c>
      <c r="J86">
        <v>104</v>
      </c>
      <c r="K86">
        <v>36</v>
      </c>
    </row>
    <row r="87" spans="1:11" x14ac:dyDescent="0.3">
      <c r="A87">
        <v>9.6</v>
      </c>
      <c r="B87" t="s">
        <v>70</v>
      </c>
      <c r="C87" t="s">
        <v>213</v>
      </c>
      <c r="D87" t="s">
        <v>130</v>
      </c>
      <c r="E87">
        <v>3</v>
      </c>
      <c r="F87" t="s">
        <v>214</v>
      </c>
      <c r="G87">
        <v>19.190000000000001</v>
      </c>
      <c r="H87">
        <v>32</v>
      </c>
      <c r="I87">
        <v>260</v>
      </c>
      <c r="J87">
        <v>318</v>
      </c>
      <c r="K87">
        <v>58</v>
      </c>
    </row>
    <row r="88" spans="1:11" x14ac:dyDescent="0.3">
      <c r="A88">
        <v>13.59</v>
      </c>
      <c r="B88" t="s">
        <v>70</v>
      </c>
      <c r="C88" t="s">
        <v>215</v>
      </c>
      <c r="D88" t="s">
        <v>83</v>
      </c>
      <c r="E88">
        <v>3</v>
      </c>
      <c r="F88" t="s">
        <v>100</v>
      </c>
      <c r="G88">
        <v>28.91</v>
      </c>
      <c r="H88">
        <v>97</v>
      </c>
      <c r="I88">
        <v>423</v>
      </c>
      <c r="J88">
        <v>492</v>
      </c>
      <c r="K88">
        <v>69</v>
      </c>
    </row>
    <row r="89" spans="1:11" x14ac:dyDescent="0.3">
      <c r="A89">
        <v>26.11</v>
      </c>
      <c r="B89" t="s">
        <v>70</v>
      </c>
      <c r="C89" t="s">
        <v>216</v>
      </c>
      <c r="D89" t="s">
        <v>130</v>
      </c>
      <c r="E89">
        <v>3</v>
      </c>
      <c r="F89" t="s">
        <v>173</v>
      </c>
      <c r="G89">
        <v>52.8</v>
      </c>
      <c r="H89">
        <v>37</v>
      </c>
      <c r="I89">
        <v>130</v>
      </c>
      <c r="J89">
        <v>179</v>
      </c>
      <c r="K89">
        <v>49</v>
      </c>
    </row>
    <row r="90" spans="1:11" x14ac:dyDescent="0.3">
      <c r="A90">
        <v>2.46</v>
      </c>
      <c r="B90" t="s">
        <v>70</v>
      </c>
      <c r="C90" t="s">
        <v>217</v>
      </c>
      <c r="D90" t="s">
        <v>77</v>
      </c>
      <c r="E90">
        <v>3</v>
      </c>
      <c r="F90" t="s">
        <v>152</v>
      </c>
      <c r="G90">
        <v>4.08</v>
      </c>
      <c r="H90">
        <v>40</v>
      </c>
      <c r="I90">
        <v>207</v>
      </c>
      <c r="J90">
        <v>396</v>
      </c>
      <c r="K90">
        <v>189</v>
      </c>
    </row>
    <row r="91" spans="1:11" x14ac:dyDescent="0.3">
      <c r="A91">
        <v>73.22</v>
      </c>
      <c r="B91" t="s">
        <v>70</v>
      </c>
      <c r="C91" t="s">
        <v>218</v>
      </c>
      <c r="D91" t="s">
        <v>90</v>
      </c>
      <c r="E91">
        <v>3</v>
      </c>
      <c r="F91" t="s">
        <v>219</v>
      </c>
      <c r="G91">
        <v>104.14</v>
      </c>
      <c r="H91">
        <v>31</v>
      </c>
      <c r="I91">
        <v>186</v>
      </c>
      <c r="J91">
        <v>251</v>
      </c>
      <c r="K91">
        <v>65</v>
      </c>
    </row>
    <row r="92" spans="1:11" x14ac:dyDescent="0.3">
      <c r="A92">
        <v>44.31</v>
      </c>
      <c r="B92" t="s">
        <v>70</v>
      </c>
      <c r="C92" t="s">
        <v>220</v>
      </c>
      <c r="D92" t="s">
        <v>90</v>
      </c>
      <c r="E92">
        <v>3</v>
      </c>
      <c r="F92" t="s">
        <v>177</v>
      </c>
      <c r="G92">
        <v>78.209999999999994</v>
      </c>
      <c r="H92">
        <v>78</v>
      </c>
      <c r="I92">
        <v>289</v>
      </c>
      <c r="J92">
        <v>335</v>
      </c>
      <c r="K92">
        <v>46</v>
      </c>
    </row>
    <row r="93" spans="1:11" x14ac:dyDescent="0.3">
      <c r="A93">
        <v>21.93</v>
      </c>
      <c r="B93" t="s">
        <v>70</v>
      </c>
      <c r="C93" t="s">
        <v>221</v>
      </c>
      <c r="D93" t="s">
        <v>93</v>
      </c>
      <c r="E93">
        <v>3</v>
      </c>
      <c r="F93" t="s">
        <v>222</v>
      </c>
      <c r="G93">
        <v>30.94</v>
      </c>
      <c r="H93">
        <v>82</v>
      </c>
      <c r="I93">
        <v>238</v>
      </c>
      <c r="J93">
        <v>381</v>
      </c>
      <c r="K93">
        <v>143</v>
      </c>
    </row>
    <row r="94" spans="1:11" x14ac:dyDescent="0.3">
      <c r="A94">
        <v>16.899999999999999</v>
      </c>
      <c r="B94" t="s">
        <v>70</v>
      </c>
      <c r="C94" t="s">
        <v>223</v>
      </c>
      <c r="D94" t="s">
        <v>72</v>
      </c>
      <c r="E94">
        <v>3</v>
      </c>
      <c r="F94" t="s">
        <v>73</v>
      </c>
      <c r="G94">
        <v>30.81</v>
      </c>
      <c r="H94">
        <v>2</v>
      </c>
      <c r="I94">
        <v>11</v>
      </c>
      <c r="J94">
        <v>22</v>
      </c>
      <c r="K94">
        <v>11</v>
      </c>
    </row>
    <row r="95" spans="1:11" x14ac:dyDescent="0.3">
      <c r="A95">
        <v>14.24</v>
      </c>
      <c r="B95" t="s">
        <v>70</v>
      </c>
      <c r="C95" t="s">
        <v>224</v>
      </c>
      <c r="D95" t="s">
        <v>83</v>
      </c>
      <c r="E95">
        <v>3</v>
      </c>
      <c r="F95" t="s">
        <v>175</v>
      </c>
      <c r="G95">
        <v>19.170000000000002</v>
      </c>
      <c r="H95">
        <v>58</v>
      </c>
      <c r="I95">
        <v>264</v>
      </c>
      <c r="J95">
        <v>327</v>
      </c>
      <c r="K95">
        <v>63</v>
      </c>
    </row>
    <row r="96" spans="1:11" x14ac:dyDescent="0.3">
      <c r="A96">
        <v>13.33</v>
      </c>
      <c r="B96" t="s">
        <v>70</v>
      </c>
      <c r="C96" t="s">
        <v>225</v>
      </c>
      <c r="D96" t="s">
        <v>80</v>
      </c>
      <c r="E96">
        <v>3</v>
      </c>
      <c r="F96" t="s">
        <v>114</v>
      </c>
      <c r="G96">
        <v>24.48</v>
      </c>
      <c r="H96">
        <v>63</v>
      </c>
      <c r="I96">
        <v>151</v>
      </c>
      <c r="J96">
        <v>382</v>
      </c>
      <c r="K96">
        <v>231</v>
      </c>
    </row>
    <row r="97" spans="1:11" x14ac:dyDescent="0.3">
      <c r="A97">
        <v>33.92</v>
      </c>
      <c r="B97" t="s">
        <v>70</v>
      </c>
      <c r="C97" t="s">
        <v>226</v>
      </c>
      <c r="D97" t="s">
        <v>90</v>
      </c>
      <c r="E97">
        <v>3</v>
      </c>
      <c r="F97" t="s">
        <v>189</v>
      </c>
      <c r="G97">
        <v>61.59</v>
      </c>
      <c r="H97">
        <v>35</v>
      </c>
      <c r="I97">
        <v>71</v>
      </c>
      <c r="J97">
        <v>291</v>
      </c>
      <c r="K97">
        <v>220</v>
      </c>
    </row>
    <row r="98" spans="1:11" x14ac:dyDescent="0.3">
      <c r="A98">
        <v>28.82</v>
      </c>
      <c r="B98" t="s">
        <v>70</v>
      </c>
      <c r="C98" t="s">
        <v>227</v>
      </c>
      <c r="D98" t="s">
        <v>130</v>
      </c>
      <c r="E98">
        <v>3</v>
      </c>
      <c r="F98" t="s">
        <v>228</v>
      </c>
      <c r="G98">
        <v>45.98</v>
      </c>
      <c r="H98">
        <v>5</v>
      </c>
      <c r="I98">
        <v>11</v>
      </c>
      <c r="J98">
        <v>34</v>
      </c>
      <c r="K98">
        <v>23</v>
      </c>
    </row>
    <row r="99" spans="1:11" x14ac:dyDescent="0.3">
      <c r="A99">
        <v>49.88</v>
      </c>
      <c r="B99" t="s">
        <v>70</v>
      </c>
      <c r="C99" t="s">
        <v>229</v>
      </c>
      <c r="D99" t="s">
        <v>90</v>
      </c>
      <c r="E99">
        <v>3</v>
      </c>
      <c r="F99" t="s">
        <v>219</v>
      </c>
      <c r="G99">
        <v>80.040000000000006</v>
      </c>
      <c r="H99">
        <v>28</v>
      </c>
      <c r="I99">
        <v>153</v>
      </c>
      <c r="J99">
        <v>210</v>
      </c>
      <c r="K99">
        <v>57</v>
      </c>
    </row>
    <row r="100" spans="1:11" x14ac:dyDescent="0.3">
      <c r="A100">
        <v>3.96</v>
      </c>
      <c r="B100" t="s">
        <v>70</v>
      </c>
      <c r="C100" t="s">
        <v>230</v>
      </c>
      <c r="D100" t="s">
        <v>80</v>
      </c>
      <c r="E100">
        <v>3</v>
      </c>
      <c r="F100" t="s">
        <v>81</v>
      </c>
      <c r="G100">
        <v>6.32</v>
      </c>
      <c r="H100">
        <v>36</v>
      </c>
      <c r="I100">
        <v>110</v>
      </c>
      <c r="J100">
        <v>233</v>
      </c>
      <c r="K100">
        <v>123</v>
      </c>
    </row>
    <row r="101" spans="1:11" x14ac:dyDescent="0.3">
      <c r="A101">
        <v>10.95</v>
      </c>
      <c r="B101" t="s">
        <v>70</v>
      </c>
      <c r="C101" t="s">
        <v>231</v>
      </c>
      <c r="D101" t="s">
        <v>130</v>
      </c>
      <c r="E101">
        <v>3</v>
      </c>
      <c r="F101" t="s">
        <v>154</v>
      </c>
      <c r="G101">
        <v>21.56</v>
      </c>
      <c r="H101">
        <v>68</v>
      </c>
      <c r="I101">
        <v>324</v>
      </c>
      <c r="J101">
        <v>446</v>
      </c>
      <c r="K101">
        <v>122</v>
      </c>
    </row>
    <row r="102" spans="1:11" x14ac:dyDescent="0.3">
      <c r="A102">
        <v>7.7</v>
      </c>
      <c r="B102" t="s">
        <v>70</v>
      </c>
      <c r="C102" t="s">
        <v>232</v>
      </c>
      <c r="D102" t="s">
        <v>80</v>
      </c>
      <c r="E102">
        <v>3</v>
      </c>
      <c r="F102" t="s">
        <v>233</v>
      </c>
      <c r="G102">
        <v>14.41</v>
      </c>
      <c r="H102">
        <v>4</v>
      </c>
      <c r="I102">
        <v>6</v>
      </c>
      <c r="J102">
        <v>37</v>
      </c>
      <c r="K102">
        <v>31</v>
      </c>
    </row>
    <row r="103" spans="1:11" x14ac:dyDescent="0.3">
      <c r="A103">
        <v>2.66</v>
      </c>
      <c r="B103" t="s">
        <v>70</v>
      </c>
      <c r="C103" t="s">
        <v>234</v>
      </c>
      <c r="D103" t="s">
        <v>130</v>
      </c>
      <c r="E103">
        <v>3</v>
      </c>
      <c r="F103" t="s">
        <v>192</v>
      </c>
      <c r="G103">
        <v>5.07</v>
      </c>
      <c r="H103">
        <v>15</v>
      </c>
      <c r="I103">
        <v>83</v>
      </c>
      <c r="J103">
        <v>150</v>
      </c>
      <c r="K103">
        <v>67</v>
      </c>
    </row>
    <row r="104" spans="1:11" x14ac:dyDescent="0.3">
      <c r="A104">
        <v>7.78</v>
      </c>
      <c r="B104" t="s">
        <v>70</v>
      </c>
      <c r="C104" t="s">
        <v>235</v>
      </c>
      <c r="D104" t="s">
        <v>80</v>
      </c>
      <c r="E104">
        <v>3</v>
      </c>
      <c r="F104" t="s">
        <v>186</v>
      </c>
      <c r="G104">
        <v>11.35</v>
      </c>
      <c r="H104">
        <v>80</v>
      </c>
      <c r="I104">
        <v>168</v>
      </c>
      <c r="J104">
        <v>398</v>
      </c>
      <c r="K104">
        <v>230</v>
      </c>
    </row>
    <row r="105" spans="1:11" x14ac:dyDescent="0.3">
      <c r="A105">
        <v>11.68</v>
      </c>
      <c r="B105" t="s">
        <v>70</v>
      </c>
      <c r="C105" t="s">
        <v>236</v>
      </c>
      <c r="D105" t="s">
        <v>87</v>
      </c>
      <c r="E105">
        <v>3</v>
      </c>
      <c r="F105" t="s">
        <v>237</v>
      </c>
      <c r="G105">
        <v>19.760000000000002</v>
      </c>
      <c r="H105">
        <v>83</v>
      </c>
      <c r="I105">
        <v>179</v>
      </c>
      <c r="J105">
        <v>355</v>
      </c>
      <c r="K105">
        <v>176</v>
      </c>
    </row>
    <row r="106" spans="1:11" x14ac:dyDescent="0.3">
      <c r="A106">
        <v>5.54</v>
      </c>
      <c r="B106" t="s">
        <v>70</v>
      </c>
      <c r="C106" t="s">
        <v>238</v>
      </c>
      <c r="D106" t="s">
        <v>72</v>
      </c>
      <c r="E106">
        <v>6</v>
      </c>
      <c r="F106" t="s">
        <v>239</v>
      </c>
      <c r="G106">
        <v>9.5399999999999991</v>
      </c>
      <c r="H106">
        <v>4</v>
      </c>
      <c r="I106">
        <v>24</v>
      </c>
      <c r="J106">
        <v>38</v>
      </c>
      <c r="K106">
        <v>14</v>
      </c>
    </row>
    <row r="107" spans="1:11" x14ac:dyDescent="0.3">
      <c r="A107">
        <v>9.67</v>
      </c>
      <c r="B107" t="s">
        <v>70</v>
      </c>
      <c r="C107" t="s">
        <v>240</v>
      </c>
      <c r="D107" t="s">
        <v>130</v>
      </c>
      <c r="E107">
        <v>6</v>
      </c>
      <c r="F107" t="s">
        <v>214</v>
      </c>
      <c r="G107">
        <v>14.73</v>
      </c>
      <c r="H107">
        <v>28</v>
      </c>
      <c r="I107">
        <v>67</v>
      </c>
      <c r="J107">
        <v>150</v>
      </c>
      <c r="K107">
        <v>83</v>
      </c>
    </row>
    <row r="108" spans="1:11" x14ac:dyDescent="0.3">
      <c r="A108">
        <v>14.05</v>
      </c>
      <c r="B108" t="s">
        <v>70</v>
      </c>
      <c r="C108" t="s">
        <v>241</v>
      </c>
      <c r="D108" t="s">
        <v>87</v>
      </c>
      <c r="E108">
        <v>6</v>
      </c>
      <c r="F108" t="s">
        <v>237</v>
      </c>
      <c r="G108">
        <v>30.39</v>
      </c>
      <c r="H108">
        <v>40</v>
      </c>
      <c r="I108">
        <v>162</v>
      </c>
      <c r="J108">
        <v>291</v>
      </c>
      <c r="K108">
        <v>129</v>
      </c>
    </row>
    <row r="109" spans="1:11" x14ac:dyDescent="0.3">
      <c r="A109">
        <v>16.8</v>
      </c>
      <c r="B109" t="s">
        <v>70</v>
      </c>
      <c r="C109" t="s">
        <v>242</v>
      </c>
      <c r="D109" t="s">
        <v>87</v>
      </c>
      <c r="E109">
        <v>6</v>
      </c>
      <c r="F109" t="s">
        <v>147</v>
      </c>
      <c r="G109">
        <v>22.4</v>
      </c>
      <c r="H109">
        <v>17</v>
      </c>
      <c r="I109">
        <v>110</v>
      </c>
      <c r="J109">
        <v>165</v>
      </c>
      <c r="K109">
        <v>55</v>
      </c>
    </row>
    <row r="110" spans="1:11" x14ac:dyDescent="0.3">
      <c r="A110">
        <v>11.5</v>
      </c>
      <c r="B110" t="s">
        <v>70</v>
      </c>
      <c r="C110" t="s">
        <v>243</v>
      </c>
      <c r="D110" t="s">
        <v>72</v>
      </c>
      <c r="E110">
        <v>6</v>
      </c>
      <c r="F110" t="s">
        <v>168</v>
      </c>
      <c r="G110">
        <v>15.55</v>
      </c>
      <c r="H110">
        <v>10</v>
      </c>
      <c r="I110">
        <v>22</v>
      </c>
      <c r="J110">
        <v>65</v>
      </c>
      <c r="K110">
        <v>43</v>
      </c>
    </row>
    <row r="111" spans="1:11" x14ac:dyDescent="0.3">
      <c r="A111">
        <v>9.9700000000000006</v>
      </c>
      <c r="B111" t="s">
        <v>70</v>
      </c>
      <c r="C111" t="s">
        <v>244</v>
      </c>
      <c r="D111" t="s">
        <v>83</v>
      </c>
      <c r="E111">
        <v>6</v>
      </c>
      <c r="F111" t="s">
        <v>210</v>
      </c>
      <c r="G111">
        <v>13.17</v>
      </c>
      <c r="H111">
        <v>14</v>
      </c>
      <c r="I111">
        <v>25</v>
      </c>
      <c r="J111">
        <v>63</v>
      </c>
      <c r="K111">
        <v>38</v>
      </c>
    </row>
    <row r="112" spans="1:11" x14ac:dyDescent="0.3">
      <c r="A112">
        <v>26.39</v>
      </c>
      <c r="B112" t="s">
        <v>70</v>
      </c>
      <c r="C112" t="s">
        <v>245</v>
      </c>
      <c r="D112" t="s">
        <v>93</v>
      </c>
      <c r="E112">
        <v>6</v>
      </c>
      <c r="F112" t="s">
        <v>125</v>
      </c>
      <c r="G112">
        <v>44.2</v>
      </c>
      <c r="H112">
        <v>13</v>
      </c>
      <c r="I112">
        <v>15</v>
      </c>
      <c r="J112">
        <v>57</v>
      </c>
      <c r="K112">
        <v>42</v>
      </c>
    </row>
    <row r="113" spans="1:11" x14ac:dyDescent="0.3">
      <c r="A113">
        <v>4.2</v>
      </c>
      <c r="B113" t="s">
        <v>70</v>
      </c>
      <c r="C113" t="s">
        <v>246</v>
      </c>
      <c r="D113" t="s">
        <v>72</v>
      </c>
      <c r="E113">
        <v>6</v>
      </c>
      <c r="F113" t="s">
        <v>75</v>
      </c>
      <c r="G113">
        <v>6.14</v>
      </c>
      <c r="H113">
        <v>46</v>
      </c>
      <c r="I113">
        <v>180</v>
      </c>
      <c r="J113">
        <v>201</v>
      </c>
      <c r="K113">
        <v>21</v>
      </c>
    </row>
    <row r="114" spans="1:11" x14ac:dyDescent="0.3">
      <c r="A114">
        <v>12.78</v>
      </c>
      <c r="B114" t="s">
        <v>70</v>
      </c>
      <c r="C114" t="s">
        <v>247</v>
      </c>
      <c r="D114" t="s">
        <v>130</v>
      </c>
      <c r="E114">
        <v>6</v>
      </c>
      <c r="F114" t="s">
        <v>248</v>
      </c>
      <c r="G114">
        <v>20.52</v>
      </c>
      <c r="H114">
        <v>113</v>
      </c>
      <c r="I114">
        <v>135</v>
      </c>
      <c r="J114">
        <v>457</v>
      </c>
      <c r="K114">
        <v>322</v>
      </c>
    </row>
    <row r="115" spans="1:11" x14ac:dyDescent="0.3">
      <c r="A115">
        <v>22.37</v>
      </c>
      <c r="B115" t="s">
        <v>70</v>
      </c>
      <c r="C115" t="s">
        <v>249</v>
      </c>
      <c r="D115" t="s">
        <v>90</v>
      </c>
      <c r="E115">
        <v>6</v>
      </c>
      <c r="F115" t="s">
        <v>164</v>
      </c>
      <c r="G115">
        <v>36.57</v>
      </c>
      <c r="H115">
        <v>21</v>
      </c>
      <c r="I115">
        <v>78</v>
      </c>
      <c r="J115">
        <v>105</v>
      </c>
      <c r="K115">
        <v>27</v>
      </c>
    </row>
    <row r="116" spans="1:11" x14ac:dyDescent="0.3">
      <c r="A116">
        <v>2.82</v>
      </c>
      <c r="B116" t="s">
        <v>70</v>
      </c>
      <c r="C116" t="s">
        <v>250</v>
      </c>
      <c r="D116" t="s">
        <v>72</v>
      </c>
      <c r="E116">
        <v>6</v>
      </c>
      <c r="F116" t="s">
        <v>75</v>
      </c>
      <c r="G116">
        <v>4.2300000000000004</v>
      </c>
      <c r="H116">
        <v>30</v>
      </c>
      <c r="I116">
        <v>94</v>
      </c>
      <c r="J116">
        <v>131</v>
      </c>
      <c r="K116">
        <v>37</v>
      </c>
    </row>
    <row r="117" spans="1:11" x14ac:dyDescent="0.3">
      <c r="A117">
        <v>18.350000000000001</v>
      </c>
      <c r="B117" t="s">
        <v>70</v>
      </c>
      <c r="C117" t="s">
        <v>251</v>
      </c>
      <c r="D117" t="s">
        <v>93</v>
      </c>
      <c r="E117">
        <v>6</v>
      </c>
      <c r="F117" t="s">
        <v>252</v>
      </c>
      <c r="G117">
        <v>24.16</v>
      </c>
      <c r="H117">
        <v>85</v>
      </c>
      <c r="I117">
        <v>107</v>
      </c>
      <c r="J117">
        <v>436</v>
      </c>
      <c r="K117">
        <v>329</v>
      </c>
    </row>
    <row r="118" spans="1:11" x14ac:dyDescent="0.3">
      <c r="A118">
        <v>23.5</v>
      </c>
      <c r="B118" t="s">
        <v>70</v>
      </c>
      <c r="C118" t="s">
        <v>253</v>
      </c>
      <c r="D118" t="s">
        <v>72</v>
      </c>
      <c r="E118">
        <v>6</v>
      </c>
      <c r="F118" t="s">
        <v>239</v>
      </c>
      <c r="G118">
        <v>34.99</v>
      </c>
      <c r="H118">
        <v>59</v>
      </c>
      <c r="I118">
        <v>160</v>
      </c>
      <c r="J118">
        <v>238</v>
      </c>
      <c r="K118">
        <v>78</v>
      </c>
    </row>
    <row r="119" spans="1:11" x14ac:dyDescent="0.3">
      <c r="A119">
        <v>5.26</v>
      </c>
      <c r="B119" t="s">
        <v>70</v>
      </c>
      <c r="C119" t="s">
        <v>254</v>
      </c>
      <c r="D119" t="s">
        <v>80</v>
      </c>
      <c r="E119">
        <v>6</v>
      </c>
      <c r="F119" t="s">
        <v>160</v>
      </c>
      <c r="G119">
        <v>10.02</v>
      </c>
      <c r="H119">
        <v>11</v>
      </c>
      <c r="I119">
        <v>33</v>
      </c>
      <c r="J119">
        <v>72</v>
      </c>
      <c r="K119">
        <v>39</v>
      </c>
    </row>
    <row r="120" spans="1:11" x14ac:dyDescent="0.3">
      <c r="A120">
        <v>25.08</v>
      </c>
      <c r="B120" t="s">
        <v>70</v>
      </c>
      <c r="C120" t="s">
        <v>255</v>
      </c>
      <c r="D120" t="s">
        <v>93</v>
      </c>
      <c r="E120">
        <v>6</v>
      </c>
      <c r="F120" t="s">
        <v>252</v>
      </c>
      <c r="G120">
        <v>47.91</v>
      </c>
      <c r="H120">
        <v>69</v>
      </c>
      <c r="I120">
        <v>263</v>
      </c>
      <c r="J120">
        <v>303</v>
      </c>
      <c r="K120">
        <v>40</v>
      </c>
    </row>
    <row r="121" spans="1:11" x14ac:dyDescent="0.3">
      <c r="A121">
        <v>3.04</v>
      </c>
      <c r="B121" t="s">
        <v>70</v>
      </c>
      <c r="C121" t="s">
        <v>256</v>
      </c>
      <c r="D121" t="s">
        <v>77</v>
      </c>
      <c r="E121">
        <v>6</v>
      </c>
      <c r="F121" t="s">
        <v>257</v>
      </c>
      <c r="G121">
        <v>6.23</v>
      </c>
      <c r="H121">
        <v>102</v>
      </c>
      <c r="I121">
        <v>341</v>
      </c>
      <c r="J121">
        <v>455</v>
      </c>
      <c r="K121">
        <v>114</v>
      </c>
    </row>
    <row r="122" spans="1:11" x14ac:dyDescent="0.3">
      <c r="A122">
        <v>17.66</v>
      </c>
      <c r="B122" t="s">
        <v>70</v>
      </c>
      <c r="C122" t="s">
        <v>258</v>
      </c>
      <c r="D122" t="s">
        <v>130</v>
      </c>
      <c r="E122">
        <v>6</v>
      </c>
      <c r="F122" t="s">
        <v>154</v>
      </c>
      <c r="G122">
        <v>27.3</v>
      </c>
      <c r="H122">
        <v>48</v>
      </c>
      <c r="I122">
        <v>209</v>
      </c>
      <c r="J122">
        <v>335</v>
      </c>
      <c r="K122">
        <v>126</v>
      </c>
    </row>
    <row r="123" spans="1:11" x14ac:dyDescent="0.3">
      <c r="A123">
        <v>13.98</v>
      </c>
      <c r="B123" t="s">
        <v>70</v>
      </c>
      <c r="C123" t="s">
        <v>259</v>
      </c>
      <c r="D123" t="s">
        <v>83</v>
      </c>
      <c r="E123">
        <v>6</v>
      </c>
      <c r="F123" t="s">
        <v>175</v>
      </c>
      <c r="G123">
        <v>27.04</v>
      </c>
      <c r="H123">
        <v>84</v>
      </c>
      <c r="I123">
        <v>346</v>
      </c>
      <c r="J123">
        <v>434</v>
      </c>
      <c r="K123">
        <v>88</v>
      </c>
    </row>
    <row r="124" spans="1:11" x14ac:dyDescent="0.3">
      <c r="A124">
        <v>3.87</v>
      </c>
      <c r="B124" t="s">
        <v>70</v>
      </c>
      <c r="C124" t="s">
        <v>260</v>
      </c>
      <c r="D124" t="s">
        <v>83</v>
      </c>
      <c r="E124">
        <v>6</v>
      </c>
      <c r="F124" t="s">
        <v>84</v>
      </c>
      <c r="G124">
        <v>6.11</v>
      </c>
      <c r="H124">
        <v>17</v>
      </c>
      <c r="I124">
        <v>21</v>
      </c>
      <c r="J124">
        <v>159</v>
      </c>
      <c r="K124">
        <v>138</v>
      </c>
    </row>
    <row r="125" spans="1:11" x14ac:dyDescent="0.3">
      <c r="A125">
        <v>8.92</v>
      </c>
      <c r="B125" t="s">
        <v>70</v>
      </c>
      <c r="C125" t="s">
        <v>261</v>
      </c>
      <c r="D125" t="s">
        <v>77</v>
      </c>
      <c r="E125">
        <v>6</v>
      </c>
      <c r="F125" t="s">
        <v>262</v>
      </c>
      <c r="G125">
        <v>16.2</v>
      </c>
      <c r="H125">
        <v>43</v>
      </c>
      <c r="I125">
        <v>105</v>
      </c>
      <c r="J125">
        <v>193</v>
      </c>
      <c r="K125">
        <v>88</v>
      </c>
    </row>
    <row r="126" spans="1:11" x14ac:dyDescent="0.3">
      <c r="A126">
        <v>2.42</v>
      </c>
      <c r="B126" t="s">
        <v>70</v>
      </c>
      <c r="C126" t="s">
        <v>263</v>
      </c>
      <c r="D126" t="s">
        <v>77</v>
      </c>
      <c r="E126">
        <v>6</v>
      </c>
      <c r="F126" t="s">
        <v>78</v>
      </c>
      <c r="G126">
        <v>4.5199999999999996</v>
      </c>
      <c r="H126">
        <v>60</v>
      </c>
      <c r="I126">
        <v>249</v>
      </c>
      <c r="J126">
        <v>434</v>
      </c>
      <c r="K126">
        <v>185</v>
      </c>
    </row>
    <row r="127" spans="1:11" x14ac:dyDescent="0.3">
      <c r="A127">
        <v>1.9</v>
      </c>
      <c r="B127" t="s">
        <v>70</v>
      </c>
      <c r="C127" t="s">
        <v>264</v>
      </c>
      <c r="D127" t="s">
        <v>72</v>
      </c>
      <c r="E127">
        <v>6</v>
      </c>
      <c r="F127" t="s">
        <v>265</v>
      </c>
      <c r="G127">
        <v>3.93</v>
      </c>
      <c r="H127">
        <v>22</v>
      </c>
      <c r="I127">
        <v>71</v>
      </c>
      <c r="J127">
        <v>130</v>
      </c>
      <c r="K127">
        <v>59</v>
      </c>
    </row>
    <row r="128" spans="1:11" x14ac:dyDescent="0.3">
      <c r="A128">
        <v>14.94</v>
      </c>
      <c r="B128" t="s">
        <v>70</v>
      </c>
      <c r="C128" t="s">
        <v>266</v>
      </c>
      <c r="D128" t="s">
        <v>130</v>
      </c>
      <c r="E128">
        <v>6</v>
      </c>
      <c r="F128" t="s">
        <v>143</v>
      </c>
      <c r="G128">
        <v>31.95</v>
      </c>
      <c r="H128">
        <v>50</v>
      </c>
      <c r="I128">
        <v>96</v>
      </c>
      <c r="J128">
        <v>223</v>
      </c>
      <c r="K128">
        <v>127</v>
      </c>
    </row>
    <row r="129" spans="1:11" x14ac:dyDescent="0.3">
      <c r="A129">
        <v>4.05</v>
      </c>
      <c r="B129" t="s">
        <v>70</v>
      </c>
      <c r="C129" t="s">
        <v>267</v>
      </c>
      <c r="D129" t="s">
        <v>83</v>
      </c>
      <c r="E129">
        <v>6</v>
      </c>
      <c r="F129" t="s">
        <v>202</v>
      </c>
      <c r="G129">
        <v>8.89</v>
      </c>
      <c r="H129">
        <v>51</v>
      </c>
      <c r="I129">
        <v>395</v>
      </c>
      <c r="J129">
        <v>440</v>
      </c>
      <c r="K129">
        <v>45</v>
      </c>
    </row>
    <row r="130" spans="1:11" x14ac:dyDescent="0.3">
      <c r="A130">
        <v>18.09</v>
      </c>
      <c r="B130" t="s">
        <v>70</v>
      </c>
      <c r="C130" t="s">
        <v>268</v>
      </c>
      <c r="D130" t="s">
        <v>87</v>
      </c>
      <c r="E130">
        <v>6</v>
      </c>
      <c r="F130" t="s">
        <v>269</v>
      </c>
      <c r="G130">
        <v>38.840000000000003</v>
      </c>
      <c r="H130">
        <v>95</v>
      </c>
      <c r="I130">
        <v>250</v>
      </c>
      <c r="J130">
        <v>420</v>
      </c>
      <c r="K130">
        <v>170</v>
      </c>
    </row>
    <row r="131" spans="1:11" x14ac:dyDescent="0.3">
      <c r="A131">
        <v>29.72</v>
      </c>
      <c r="B131" t="s">
        <v>70</v>
      </c>
      <c r="C131" t="s">
        <v>270</v>
      </c>
      <c r="D131" t="s">
        <v>93</v>
      </c>
      <c r="E131">
        <v>6</v>
      </c>
      <c r="F131" t="s">
        <v>94</v>
      </c>
      <c r="G131">
        <v>45.88</v>
      </c>
      <c r="H131">
        <v>9</v>
      </c>
      <c r="I131">
        <v>37</v>
      </c>
      <c r="J131">
        <v>60</v>
      </c>
      <c r="K131">
        <v>23</v>
      </c>
    </row>
    <row r="132" spans="1:11" x14ac:dyDescent="0.3">
      <c r="A132">
        <v>13.89</v>
      </c>
      <c r="B132" t="s">
        <v>70</v>
      </c>
      <c r="C132" t="s">
        <v>271</v>
      </c>
      <c r="D132" t="s">
        <v>93</v>
      </c>
      <c r="E132">
        <v>6</v>
      </c>
      <c r="F132" t="s">
        <v>108</v>
      </c>
      <c r="G132">
        <v>22.67</v>
      </c>
      <c r="H132">
        <v>82</v>
      </c>
      <c r="I132">
        <v>321</v>
      </c>
      <c r="J132">
        <v>388</v>
      </c>
      <c r="K132">
        <v>67</v>
      </c>
    </row>
    <row r="133" spans="1:11" x14ac:dyDescent="0.3">
      <c r="A133">
        <v>33.11</v>
      </c>
      <c r="B133" t="s">
        <v>70</v>
      </c>
      <c r="C133" t="s">
        <v>272</v>
      </c>
      <c r="D133" t="s">
        <v>90</v>
      </c>
      <c r="E133">
        <v>6</v>
      </c>
      <c r="F133" t="s">
        <v>177</v>
      </c>
      <c r="G133">
        <v>61.05</v>
      </c>
      <c r="H133">
        <v>14</v>
      </c>
      <c r="I133">
        <v>43</v>
      </c>
      <c r="J133">
        <v>81</v>
      </c>
      <c r="K133">
        <v>38</v>
      </c>
    </row>
    <row r="134" spans="1:11" x14ac:dyDescent="0.3">
      <c r="A134">
        <v>1.17</v>
      </c>
      <c r="B134" t="s">
        <v>70</v>
      </c>
      <c r="C134" t="s">
        <v>273</v>
      </c>
      <c r="D134" t="s">
        <v>83</v>
      </c>
      <c r="E134">
        <v>6</v>
      </c>
      <c r="F134" t="s">
        <v>210</v>
      </c>
      <c r="G134">
        <v>1.55</v>
      </c>
      <c r="H134">
        <v>52</v>
      </c>
      <c r="I134">
        <v>129</v>
      </c>
      <c r="J134">
        <v>251</v>
      </c>
      <c r="K134">
        <v>122</v>
      </c>
    </row>
    <row r="135" spans="1:11" x14ac:dyDescent="0.3">
      <c r="A135">
        <v>1.5</v>
      </c>
      <c r="B135" t="s">
        <v>70</v>
      </c>
      <c r="C135" t="s">
        <v>274</v>
      </c>
      <c r="D135" t="s">
        <v>80</v>
      </c>
      <c r="E135">
        <v>6</v>
      </c>
      <c r="F135" t="s">
        <v>233</v>
      </c>
      <c r="G135">
        <v>2.36</v>
      </c>
      <c r="H135">
        <v>43</v>
      </c>
      <c r="I135">
        <v>287</v>
      </c>
      <c r="J135">
        <v>326</v>
      </c>
      <c r="K135">
        <v>39</v>
      </c>
    </row>
    <row r="136" spans="1:11" x14ac:dyDescent="0.3">
      <c r="A136">
        <v>6.53</v>
      </c>
      <c r="B136" t="s">
        <v>70</v>
      </c>
      <c r="C136" t="s">
        <v>275</v>
      </c>
      <c r="D136" t="s">
        <v>80</v>
      </c>
      <c r="E136">
        <v>6</v>
      </c>
      <c r="F136" t="s">
        <v>233</v>
      </c>
      <c r="G136">
        <v>10.9</v>
      </c>
      <c r="H136">
        <v>79</v>
      </c>
      <c r="I136">
        <v>92</v>
      </c>
      <c r="J136">
        <v>335</v>
      </c>
      <c r="K136">
        <v>243</v>
      </c>
    </row>
    <row r="137" spans="1:11" x14ac:dyDescent="0.3">
      <c r="A137">
        <v>1.25</v>
      </c>
      <c r="B137" t="s">
        <v>70</v>
      </c>
      <c r="C137" t="s">
        <v>276</v>
      </c>
      <c r="D137" t="s">
        <v>80</v>
      </c>
      <c r="E137">
        <v>6</v>
      </c>
      <c r="F137" t="s">
        <v>106</v>
      </c>
      <c r="G137">
        <v>1.81</v>
      </c>
      <c r="H137">
        <v>58</v>
      </c>
      <c r="I137">
        <v>167</v>
      </c>
      <c r="J137">
        <v>468</v>
      </c>
      <c r="K137">
        <v>301</v>
      </c>
    </row>
    <row r="138" spans="1:11" x14ac:dyDescent="0.3">
      <c r="A138">
        <v>17.66</v>
      </c>
      <c r="B138" t="s">
        <v>70</v>
      </c>
      <c r="C138" t="s">
        <v>277</v>
      </c>
      <c r="D138" t="s">
        <v>72</v>
      </c>
      <c r="E138">
        <v>6</v>
      </c>
      <c r="F138" t="s">
        <v>75</v>
      </c>
      <c r="G138">
        <v>28.54</v>
      </c>
      <c r="H138">
        <v>26</v>
      </c>
      <c r="I138">
        <v>62</v>
      </c>
      <c r="J138">
        <v>240</v>
      </c>
      <c r="K138">
        <v>178</v>
      </c>
    </row>
    <row r="139" spans="1:11" x14ac:dyDescent="0.3">
      <c r="A139">
        <v>27.16</v>
      </c>
      <c r="B139" t="s">
        <v>70</v>
      </c>
      <c r="C139" t="s">
        <v>278</v>
      </c>
      <c r="D139" t="s">
        <v>93</v>
      </c>
      <c r="E139">
        <v>6</v>
      </c>
      <c r="F139" t="s">
        <v>171</v>
      </c>
      <c r="G139">
        <v>43.94</v>
      </c>
      <c r="H139">
        <v>17</v>
      </c>
      <c r="I139">
        <v>53</v>
      </c>
      <c r="J139">
        <v>108</v>
      </c>
      <c r="K139">
        <v>55</v>
      </c>
    </row>
    <row r="140" spans="1:11" x14ac:dyDescent="0.3">
      <c r="A140">
        <v>68.2</v>
      </c>
      <c r="B140" t="s">
        <v>70</v>
      </c>
      <c r="C140" t="s">
        <v>279</v>
      </c>
      <c r="D140" t="s">
        <v>90</v>
      </c>
      <c r="E140">
        <v>6</v>
      </c>
      <c r="F140" t="s">
        <v>127</v>
      </c>
      <c r="G140">
        <v>134.27000000000001</v>
      </c>
      <c r="H140">
        <v>51</v>
      </c>
      <c r="I140">
        <v>111</v>
      </c>
      <c r="J140">
        <v>342</v>
      </c>
      <c r="K140">
        <v>231</v>
      </c>
    </row>
    <row r="141" spans="1:11" x14ac:dyDescent="0.3">
      <c r="A141">
        <v>24.97</v>
      </c>
      <c r="B141" t="s">
        <v>70</v>
      </c>
      <c r="C141" t="s">
        <v>280</v>
      </c>
      <c r="D141" t="s">
        <v>72</v>
      </c>
      <c r="E141">
        <v>6</v>
      </c>
      <c r="F141" t="s">
        <v>102</v>
      </c>
      <c r="G141">
        <v>48.94</v>
      </c>
      <c r="H141">
        <v>34</v>
      </c>
      <c r="I141">
        <v>131</v>
      </c>
      <c r="J141">
        <v>276</v>
      </c>
      <c r="K141">
        <v>145</v>
      </c>
    </row>
    <row r="142" spans="1:11" x14ac:dyDescent="0.3">
      <c r="A142">
        <v>14.42</v>
      </c>
      <c r="B142" t="s">
        <v>70</v>
      </c>
      <c r="C142" t="s">
        <v>281</v>
      </c>
      <c r="D142" t="s">
        <v>72</v>
      </c>
      <c r="E142">
        <v>6</v>
      </c>
      <c r="F142" t="s">
        <v>265</v>
      </c>
      <c r="G142">
        <v>25.33</v>
      </c>
      <c r="H142">
        <v>15</v>
      </c>
      <c r="I142">
        <v>74</v>
      </c>
      <c r="J142">
        <v>145</v>
      </c>
      <c r="K142">
        <v>71</v>
      </c>
    </row>
    <row r="143" spans="1:11" x14ac:dyDescent="0.3">
      <c r="A143">
        <v>12.64</v>
      </c>
      <c r="B143" t="s">
        <v>70</v>
      </c>
      <c r="C143" t="s">
        <v>282</v>
      </c>
      <c r="D143" t="s">
        <v>130</v>
      </c>
      <c r="E143">
        <v>6</v>
      </c>
      <c r="F143" t="s">
        <v>173</v>
      </c>
      <c r="G143">
        <v>27.59</v>
      </c>
      <c r="H143">
        <v>19</v>
      </c>
      <c r="I143">
        <v>95</v>
      </c>
      <c r="J143">
        <v>106</v>
      </c>
      <c r="K143">
        <v>11</v>
      </c>
    </row>
    <row r="144" spans="1:11" x14ac:dyDescent="0.3">
      <c r="A144">
        <v>20.57</v>
      </c>
      <c r="B144" t="s">
        <v>70</v>
      </c>
      <c r="C144" t="s">
        <v>283</v>
      </c>
      <c r="D144" t="s">
        <v>72</v>
      </c>
      <c r="E144">
        <v>6</v>
      </c>
      <c r="F144" t="s">
        <v>75</v>
      </c>
      <c r="G144">
        <v>38</v>
      </c>
      <c r="H144">
        <v>26</v>
      </c>
      <c r="I144">
        <v>30</v>
      </c>
      <c r="J144">
        <v>149</v>
      </c>
      <c r="K144">
        <v>119</v>
      </c>
    </row>
    <row r="145" spans="1:11" x14ac:dyDescent="0.3">
      <c r="A145">
        <v>11.46</v>
      </c>
      <c r="B145" t="s">
        <v>70</v>
      </c>
      <c r="C145" t="s">
        <v>284</v>
      </c>
      <c r="D145" t="s">
        <v>77</v>
      </c>
      <c r="E145">
        <v>6</v>
      </c>
      <c r="F145" t="s">
        <v>180</v>
      </c>
      <c r="G145">
        <v>15.93</v>
      </c>
      <c r="H145">
        <v>90</v>
      </c>
      <c r="I145">
        <v>204</v>
      </c>
      <c r="J145">
        <v>399</v>
      </c>
      <c r="K145">
        <v>195</v>
      </c>
    </row>
    <row r="146" spans="1:11" x14ac:dyDescent="0.3">
      <c r="A146">
        <v>10.130000000000001</v>
      </c>
      <c r="B146" t="s">
        <v>70</v>
      </c>
      <c r="C146" t="s">
        <v>285</v>
      </c>
      <c r="D146" t="s">
        <v>80</v>
      </c>
      <c r="E146">
        <v>6</v>
      </c>
      <c r="F146" t="s">
        <v>136</v>
      </c>
      <c r="G146">
        <v>17.66</v>
      </c>
      <c r="H146">
        <v>4</v>
      </c>
      <c r="I146">
        <v>9</v>
      </c>
      <c r="J146">
        <v>20</v>
      </c>
      <c r="K146">
        <v>11</v>
      </c>
    </row>
    <row r="147" spans="1:11" x14ac:dyDescent="0.3">
      <c r="A147">
        <v>11.82</v>
      </c>
      <c r="B147" t="s">
        <v>70</v>
      </c>
      <c r="C147" t="s">
        <v>286</v>
      </c>
      <c r="D147" t="s">
        <v>93</v>
      </c>
      <c r="E147">
        <v>6</v>
      </c>
      <c r="F147" t="s">
        <v>108</v>
      </c>
      <c r="G147">
        <v>25.26</v>
      </c>
      <c r="H147">
        <v>18</v>
      </c>
      <c r="I147">
        <v>65</v>
      </c>
      <c r="J147">
        <v>108</v>
      </c>
      <c r="K147">
        <v>43</v>
      </c>
    </row>
    <row r="148" spans="1:11" x14ac:dyDescent="0.3">
      <c r="A148">
        <v>11.61</v>
      </c>
      <c r="B148" t="s">
        <v>70</v>
      </c>
      <c r="C148" t="s">
        <v>287</v>
      </c>
      <c r="D148" t="s">
        <v>130</v>
      </c>
      <c r="E148">
        <v>6</v>
      </c>
      <c r="F148" t="s">
        <v>214</v>
      </c>
      <c r="G148">
        <v>18.79</v>
      </c>
      <c r="H148">
        <v>48</v>
      </c>
      <c r="I148">
        <v>78</v>
      </c>
      <c r="J148">
        <v>442</v>
      </c>
      <c r="K148">
        <v>364</v>
      </c>
    </row>
    <row r="149" spans="1:11" x14ac:dyDescent="0.3">
      <c r="A149">
        <v>19.25</v>
      </c>
      <c r="B149" t="s">
        <v>70</v>
      </c>
      <c r="C149" t="s">
        <v>288</v>
      </c>
      <c r="D149" t="s">
        <v>80</v>
      </c>
      <c r="E149">
        <v>6</v>
      </c>
      <c r="F149" t="s">
        <v>114</v>
      </c>
      <c r="G149">
        <v>35.08</v>
      </c>
      <c r="H149">
        <v>22</v>
      </c>
      <c r="I149">
        <v>129</v>
      </c>
      <c r="J149">
        <v>161</v>
      </c>
      <c r="K149">
        <v>32</v>
      </c>
    </row>
    <row r="150" spans="1:11" x14ac:dyDescent="0.3">
      <c r="A150">
        <v>6.46</v>
      </c>
      <c r="B150" t="s">
        <v>70</v>
      </c>
      <c r="C150" t="s">
        <v>289</v>
      </c>
      <c r="D150" t="s">
        <v>130</v>
      </c>
      <c r="E150">
        <v>6</v>
      </c>
      <c r="F150" t="s">
        <v>290</v>
      </c>
      <c r="G150">
        <v>9.4499999999999993</v>
      </c>
      <c r="H150">
        <v>65</v>
      </c>
      <c r="I150">
        <v>194</v>
      </c>
      <c r="J150">
        <v>479</v>
      </c>
      <c r="K150">
        <v>285</v>
      </c>
    </row>
    <row r="151" spans="1:11" x14ac:dyDescent="0.3">
      <c r="A151">
        <v>17.72</v>
      </c>
      <c r="B151" t="s">
        <v>70</v>
      </c>
      <c r="C151" t="s">
        <v>291</v>
      </c>
      <c r="D151" t="s">
        <v>130</v>
      </c>
      <c r="E151">
        <v>6</v>
      </c>
      <c r="F151" t="s">
        <v>173</v>
      </c>
      <c r="G151">
        <v>33.29</v>
      </c>
      <c r="H151">
        <v>55</v>
      </c>
      <c r="I151">
        <v>219</v>
      </c>
      <c r="J151">
        <v>450</v>
      </c>
      <c r="K151">
        <v>231</v>
      </c>
    </row>
    <row r="152" spans="1:11" x14ac:dyDescent="0.3">
      <c r="A152">
        <v>14.22</v>
      </c>
      <c r="B152" t="s">
        <v>70</v>
      </c>
      <c r="C152" t="s">
        <v>292</v>
      </c>
      <c r="D152" t="s">
        <v>80</v>
      </c>
      <c r="E152">
        <v>6</v>
      </c>
      <c r="F152" t="s">
        <v>160</v>
      </c>
      <c r="G152">
        <v>20.98</v>
      </c>
      <c r="H152">
        <v>66</v>
      </c>
      <c r="I152">
        <v>342</v>
      </c>
      <c r="J152">
        <v>383</v>
      </c>
      <c r="K152">
        <v>41</v>
      </c>
    </row>
    <row r="153" spans="1:11" x14ac:dyDescent="0.3">
      <c r="A153">
        <v>18.489999999999998</v>
      </c>
      <c r="B153" t="s">
        <v>70</v>
      </c>
      <c r="C153" t="s">
        <v>293</v>
      </c>
      <c r="D153" t="s">
        <v>80</v>
      </c>
      <c r="E153">
        <v>6</v>
      </c>
      <c r="F153" t="s">
        <v>136</v>
      </c>
      <c r="G153">
        <v>35.29</v>
      </c>
      <c r="H153">
        <v>107</v>
      </c>
      <c r="I153">
        <v>145</v>
      </c>
      <c r="J153">
        <v>494</v>
      </c>
      <c r="K153">
        <v>349</v>
      </c>
    </row>
    <row r="154" spans="1:11" x14ac:dyDescent="0.3">
      <c r="A154">
        <v>19.18</v>
      </c>
      <c r="B154" t="s">
        <v>70</v>
      </c>
      <c r="C154" t="s">
        <v>294</v>
      </c>
      <c r="D154" t="s">
        <v>93</v>
      </c>
      <c r="E154">
        <v>6</v>
      </c>
      <c r="F154" t="s">
        <v>252</v>
      </c>
      <c r="G154">
        <v>39.85</v>
      </c>
      <c r="H154">
        <v>9</v>
      </c>
      <c r="I154">
        <v>12</v>
      </c>
      <c r="J154">
        <v>57</v>
      </c>
      <c r="K154">
        <v>45</v>
      </c>
    </row>
    <row r="155" spans="1:11" x14ac:dyDescent="0.3">
      <c r="A155">
        <v>9.8800000000000008</v>
      </c>
      <c r="B155" t="s">
        <v>70</v>
      </c>
      <c r="C155" t="s">
        <v>295</v>
      </c>
      <c r="D155" t="s">
        <v>80</v>
      </c>
      <c r="E155">
        <v>6</v>
      </c>
      <c r="F155" t="s">
        <v>98</v>
      </c>
      <c r="G155">
        <v>20.52</v>
      </c>
      <c r="H155">
        <v>29</v>
      </c>
      <c r="I155">
        <v>46</v>
      </c>
      <c r="J155">
        <v>128</v>
      </c>
      <c r="K155">
        <v>82</v>
      </c>
    </row>
    <row r="156" spans="1:11" x14ac:dyDescent="0.3">
      <c r="A156">
        <v>11.25</v>
      </c>
      <c r="B156" t="s">
        <v>70</v>
      </c>
      <c r="C156" t="s">
        <v>296</v>
      </c>
      <c r="D156" t="s">
        <v>83</v>
      </c>
      <c r="E156">
        <v>6</v>
      </c>
      <c r="F156" t="s">
        <v>84</v>
      </c>
      <c r="G156">
        <v>18.21</v>
      </c>
      <c r="H156">
        <v>57</v>
      </c>
      <c r="I156">
        <v>246</v>
      </c>
      <c r="J156">
        <v>450</v>
      </c>
      <c r="K156">
        <v>204</v>
      </c>
    </row>
    <row r="157" spans="1:11" x14ac:dyDescent="0.3">
      <c r="A157">
        <v>14.97</v>
      </c>
      <c r="B157" t="s">
        <v>70</v>
      </c>
      <c r="C157" t="s">
        <v>297</v>
      </c>
      <c r="D157" t="s">
        <v>80</v>
      </c>
      <c r="E157">
        <v>6</v>
      </c>
      <c r="F157" t="s">
        <v>160</v>
      </c>
      <c r="G157">
        <v>24.24</v>
      </c>
      <c r="H157">
        <v>96</v>
      </c>
      <c r="I157">
        <v>298</v>
      </c>
      <c r="J157">
        <v>441</v>
      </c>
      <c r="K157">
        <v>143</v>
      </c>
    </row>
    <row r="158" spans="1:11" x14ac:dyDescent="0.3">
      <c r="A158">
        <v>6.05</v>
      </c>
      <c r="B158" t="s">
        <v>70</v>
      </c>
      <c r="C158" t="s">
        <v>298</v>
      </c>
      <c r="D158" t="s">
        <v>130</v>
      </c>
      <c r="E158">
        <v>6</v>
      </c>
      <c r="F158" t="s">
        <v>299</v>
      </c>
      <c r="G158">
        <v>12.33</v>
      </c>
      <c r="H158">
        <v>40</v>
      </c>
      <c r="I158">
        <v>99</v>
      </c>
      <c r="J158">
        <v>309</v>
      </c>
      <c r="K158">
        <v>210</v>
      </c>
    </row>
    <row r="159" spans="1:11" x14ac:dyDescent="0.3">
      <c r="A159">
        <v>7.77</v>
      </c>
      <c r="B159" t="s">
        <v>70</v>
      </c>
      <c r="C159" t="s">
        <v>300</v>
      </c>
      <c r="D159" t="s">
        <v>83</v>
      </c>
      <c r="E159">
        <v>6</v>
      </c>
      <c r="F159" t="s">
        <v>210</v>
      </c>
      <c r="G159">
        <v>15.23</v>
      </c>
      <c r="H159">
        <v>97</v>
      </c>
      <c r="I159">
        <v>256</v>
      </c>
      <c r="J159">
        <v>447</v>
      </c>
      <c r="K159">
        <v>191</v>
      </c>
    </row>
    <row r="160" spans="1:11" x14ac:dyDescent="0.3">
      <c r="A160">
        <v>10.49</v>
      </c>
      <c r="B160" t="s">
        <v>70</v>
      </c>
      <c r="C160" t="s">
        <v>301</v>
      </c>
      <c r="D160" t="s">
        <v>80</v>
      </c>
      <c r="E160">
        <v>6</v>
      </c>
      <c r="F160" t="s">
        <v>186</v>
      </c>
      <c r="G160">
        <v>22.78</v>
      </c>
      <c r="H160">
        <v>47</v>
      </c>
      <c r="I160">
        <v>94</v>
      </c>
      <c r="J160">
        <v>213</v>
      </c>
      <c r="K160">
        <v>119</v>
      </c>
    </row>
    <row r="161" spans="1:11" x14ac:dyDescent="0.3">
      <c r="A161">
        <v>21.77</v>
      </c>
      <c r="B161" t="s">
        <v>70</v>
      </c>
      <c r="C161" t="s">
        <v>302</v>
      </c>
      <c r="D161" t="s">
        <v>87</v>
      </c>
      <c r="E161">
        <v>6</v>
      </c>
      <c r="F161" t="s">
        <v>303</v>
      </c>
      <c r="G161">
        <v>43.7</v>
      </c>
      <c r="H161">
        <v>51</v>
      </c>
      <c r="I161">
        <v>70</v>
      </c>
      <c r="J161">
        <v>231</v>
      </c>
      <c r="K161">
        <v>161</v>
      </c>
    </row>
    <row r="162" spans="1:11" x14ac:dyDescent="0.3">
      <c r="A162">
        <v>8.5</v>
      </c>
      <c r="B162" t="s">
        <v>70</v>
      </c>
      <c r="C162" t="s">
        <v>304</v>
      </c>
      <c r="D162" t="s">
        <v>83</v>
      </c>
      <c r="E162">
        <v>6</v>
      </c>
      <c r="F162" t="s">
        <v>305</v>
      </c>
      <c r="G162">
        <v>14.88</v>
      </c>
      <c r="H162">
        <v>37</v>
      </c>
      <c r="I162">
        <v>190</v>
      </c>
      <c r="J162">
        <v>267</v>
      </c>
      <c r="K162">
        <v>77</v>
      </c>
    </row>
    <row r="163" spans="1:11" x14ac:dyDescent="0.3">
      <c r="A163">
        <v>3.33</v>
      </c>
      <c r="B163" t="s">
        <v>70</v>
      </c>
      <c r="C163" t="s">
        <v>306</v>
      </c>
      <c r="D163" t="s">
        <v>83</v>
      </c>
      <c r="E163">
        <v>6</v>
      </c>
      <c r="F163" t="s">
        <v>307</v>
      </c>
      <c r="G163">
        <v>5.97</v>
      </c>
      <c r="H163">
        <v>22</v>
      </c>
      <c r="I163">
        <v>88</v>
      </c>
      <c r="J163">
        <v>109</v>
      </c>
      <c r="K163">
        <v>21</v>
      </c>
    </row>
    <row r="164" spans="1:11" x14ac:dyDescent="0.3">
      <c r="A164">
        <v>16.14</v>
      </c>
      <c r="B164" t="s">
        <v>70</v>
      </c>
      <c r="C164" t="s">
        <v>308</v>
      </c>
      <c r="D164" t="s">
        <v>80</v>
      </c>
      <c r="E164">
        <v>6</v>
      </c>
      <c r="F164" t="s">
        <v>186</v>
      </c>
      <c r="G164">
        <v>21.37</v>
      </c>
      <c r="H164">
        <v>27</v>
      </c>
      <c r="I164">
        <v>111</v>
      </c>
      <c r="J164">
        <v>204</v>
      </c>
      <c r="K164">
        <v>93</v>
      </c>
    </row>
    <row r="165" spans="1:11" x14ac:dyDescent="0.3">
      <c r="A165">
        <v>16.059999999999999</v>
      </c>
      <c r="B165" t="s">
        <v>70</v>
      </c>
      <c r="C165" t="s">
        <v>309</v>
      </c>
      <c r="D165" t="s">
        <v>80</v>
      </c>
      <c r="E165">
        <v>6</v>
      </c>
      <c r="F165" t="s">
        <v>114</v>
      </c>
      <c r="G165">
        <v>22.52</v>
      </c>
      <c r="H165">
        <v>11</v>
      </c>
      <c r="I165">
        <v>35</v>
      </c>
      <c r="J165">
        <v>66</v>
      </c>
      <c r="K165">
        <v>31</v>
      </c>
    </row>
    <row r="166" spans="1:11" x14ac:dyDescent="0.3">
      <c r="A166">
        <v>6.89</v>
      </c>
      <c r="B166" t="s">
        <v>70</v>
      </c>
      <c r="C166" t="s">
        <v>310</v>
      </c>
      <c r="D166" t="s">
        <v>83</v>
      </c>
      <c r="E166">
        <v>6</v>
      </c>
      <c r="F166" t="s">
        <v>305</v>
      </c>
      <c r="G166">
        <v>10.029999999999999</v>
      </c>
      <c r="H166">
        <v>17</v>
      </c>
      <c r="I166">
        <v>23</v>
      </c>
      <c r="J166">
        <v>94</v>
      </c>
      <c r="K166">
        <v>71</v>
      </c>
    </row>
    <row r="167" spans="1:11" x14ac:dyDescent="0.3">
      <c r="A167">
        <v>5.68</v>
      </c>
      <c r="B167" t="s">
        <v>70</v>
      </c>
      <c r="C167" t="s">
        <v>311</v>
      </c>
      <c r="D167" t="s">
        <v>90</v>
      </c>
      <c r="E167">
        <v>6</v>
      </c>
      <c r="F167" t="s">
        <v>219</v>
      </c>
      <c r="G167">
        <v>8.5500000000000007</v>
      </c>
      <c r="H167">
        <v>78</v>
      </c>
      <c r="I167">
        <v>394</v>
      </c>
      <c r="J167">
        <v>479</v>
      </c>
      <c r="K167">
        <v>85</v>
      </c>
    </row>
    <row r="168" spans="1:11" x14ac:dyDescent="0.3">
      <c r="A168">
        <v>17.899999999999999</v>
      </c>
      <c r="B168" t="s">
        <v>70</v>
      </c>
      <c r="C168" t="s">
        <v>312</v>
      </c>
      <c r="D168" t="s">
        <v>80</v>
      </c>
      <c r="E168">
        <v>6</v>
      </c>
      <c r="F168" t="s">
        <v>186</v>
      </c>
      <c r="G168">
        <v>25.67</v>
      </c>
      <c r="H168">
        <v>76</v>
      </c>
      <c r="I168">
        <v>322</v>
      </c>
      <c r="J168">
        <v>487</v>
      </c>
      <c r="K168">
        <v>165</v>
      </c>
    </row>
    <row r="169" spans="1:11" x14ac:dyDescent="0.3">
      <c r="A169">
        <v>20.13</v>
      </c>
      <c r="B169" t="s">
        <v>70</v>
      </c>
      <c r="C169" t="s">
        <v>313</v>
      </c>
      <c r="D169" t="s">
        <v>72</v>
      </c>
      <c r="E169">
        <v>6</v>
      </c>
      <c r="F169" t="s">
        <v>239</v>
      </c>
      <c r="G169">
        <v>35.549999999999997</v>
      </c>
      <c r="H169">
        <v>68</v>
      </c>
      <c r="I169">
        <v>241</v>
      </c>
      <c r="J169">
        <v>312</v>
      </c>
      <c r="K169">
        <v>71</v>
      </c>
    </row>
    <row r="170" spans="1:11" x14ac:dyDescent="0.3">
      <c r="A170">
        <v>14.03</v>
      </c>
      <c r="B170" t="s">
        <v>70</v>
      </c>
      <c r="C170" t="s">
        <v>314</v>
      </c>
      <c r="D170" t="s">
        <v>87</v>
      </c>
      <c r="E170">
        <v>6</v>
      </c>
      <c r="F170" t="s">
        <v>122</v>
      </c>
      <c r="G170">
        <v>20.66</v>
      </c>
      <c r="H170">
        <v>10</v>
      </c>
      <c r="I170">
        <v>28</v>
      </c>
      <c r="J170">
        <v>81</v>
      </c>
      <c r="K170">
        <v>53</v>
      </c>
    </row>
    <row r="171" spans="1:11" x14ac:dyDescent="0.3">
      <c r="A171">
        <v>6.5</v>
      </c>
      <c r="B171" t="s">
        <v>70</v>
      </c>
      <c r="C171" t="s">
        <v>315</v>
      </c>
      <c r="D171" t="s">
        <v>93</v>
      </c>
      <c r="E171">
        <v>6</v>
      </c>
      <c r="F171" t="s">
        <v>125</v>
      </c>
      <c r="G171">
        <v>13.84</v>
      </c>
      <c r="H171">
        <v>49</v>
      </c>
      <c r="I171">
        <v>170</v>
      </c>
      <c r="J171">
        <v>215</v>
      </c>
      <c r="K171">
        <v>45</v>
      </c>
    </row>
    <row r="172" spans="1:11" x14ac:dyDescent="0.3">
      <c r="A172">
        <v>24.83</v>
      </c>
      <c r="B172" t="s">
        <v>70</v>
      </c>
      <c r="C172" t="s">
        <v>316</v>
      </c>
      <c r="D172" t="s">
        <v>72</v>
      </c>
      <c r="E172">
        <v>6</v>
      </c>
      <c r="F172" t="s">
        <v>168</v>
      </c>
      <c r="G172">
        <v>52.87</v>
      </c>
      <c r="H172">
        <v>68</v>
      </c>
      <c r="I172">
        <v>291</v>
      </c>
      <c r="J172">
        <v>386</v>
      </c>
      <c r="K172">
        <v>95</v>
      </c>
    </row>
    <row r="173" spans="1:11" x14ac:dyDescent="0.3">
      <c r="A173">
        <v>14.94</v>
      </c>
      <c r="B173" t="s">
        <v>70</v>
      </c>
      <c r="C173" t="s">
        <v>317</v>
      </c>
      <c r="D173" t="s">
        <v>72</v>
      </c>
      <c r="E173">
        <v>6</v>
      </c>
      <c r="F173" t="s">
        <v>73</v>
      </c>
      <c r="G173">
        <v>30.43</v>
      </c>
      <c r="H173">
        <v>42</v>
      </c>
      <c r="I173">
        <v>202</v>
      </c>
      <c r="J173">
        <v>350</v>
      </c>
      <c r="K173">
        <v>148</v>
      </c>
    </row>
    <row r="174" spans="1:11" x14ac:dyDescent="0.3">
      <c r="A174">
        <v>31.74</v>
      </c>
      <c r="B174" t="s">
        <v>70</v>
      </c>
      <c r="C174" t="s">
        <v>318</v>
      </c>
      <c r="D174" t="s">
        <v>90</v>
      </c>
      <c r="E174">
        <v>6</v>
      </c>
      <c r="F174" t="s">
        <v>177</v>
      </c>
      <c r="G174">
        <v>55.85</v>
      </c>
      <c r="H174">
        <v>29</v>
      </c>
      <c r="I174">
        <v>107</v>
      </c>
      <c r="J174">
        <v>278</v>
      </c>
      <c r="K174">
        <v>171</v>
      </c>
    </row>
    <row r="175" spans="1:11" x14ac:dyDescent="0.3">
      <c r="A175">
        <v>4.8499999999999996</v>
      </c>
      <c r="B175" t="s">
        <v>70</v>
      </c>
      <c r="C175" t="s">
        <v>319</v>
      </c>
      <c r="D175" t="s">
        <v>80</v>
      </c>
      <c r="E175">
        <v>6</v>
      </c>
      <c r="F175" t="s">
        <v>186</v>
      </c>
      <c r="G175">
        <v>7.62</v>
      </c>
      <c r="H175">
        <v>67</v>
      </c>
      <c r="I175">
        <v>82</v>
      </c>
      <c r="J175">
        <v>414</v>
      </c>
      <c r="K175">
        <v>332</v>
      </c>
    </row>
    <row r="176" spans="1:11" x14ac:dyDescent="0.3">
      <c r="A176">
        <v>14.22</v>
      </c>
      <c r="B176" t="s">
        <v>70</v>
      </c>
      <c r="C176" t="s">
        <v>320</v>
      </c>
      <c r="D176" t="s">
        <v>83</v>
      </c>
      <c r="E176">
        <v>6</v>
      </c>
      <c r="F176" t="s">
        <v>100</v>
      </c>
      <c r="G176">
        <v>26.29</v>
      </c>
      <c r="H176">
        <v>35</v>
      </c>
      <c r="I176">
        <v>132</v>
      </c>
      <c r="J176">
        <v>293</v>
      </c>
      <c r="K176">
        <v>161</v>
      </c>
    </row>
    <row r="177" spans="1:11" x14ac:dyDescent="0.3">
      <c r="A177">
        <v>6.8</v>
      </c>
      <c r="B177" t="s">
        <v>70</v>
      </c>
      <c r="C177" t="s">
        <v>321</v>
      </c>
      <c r="D177" t="s">
        <v>87</v>
      </c>
      <c r="E177">
        <v>6</v>
      </c>
      <c r="F177" t="s">
        <v>237</v>
      </c>
      <c r="G177">
        <v>11.03</v>
      </c>
      <c r="H177">
        <v>30</v>
      </c>
      <c r="I177">
        <v>67</v>
      </c>
      <c r="J177">
        <v>252</v>
      </c>
      <c r="K177">
        <v>185</v>
      </c>
    </row>
    <row r="178" spans="1:11" x14ac:dyDescent="0.3">
      <c r="A178">
        <v>4.93</v>
      </c>
      <c r="B178" t="s">
        <v>70</v>
      </c>
      <c r="C178" t="s">
        <v>322</v>
      </c>
      <c r="D178" t="s">
        <v>130</v>
      </c>
      <c r="E178">
        <v>6</v>
      </c>
      <c r="F178" t="s">
        <v>131</v>
      </c>
      <c r="G178">
        <v>6.64</v>
      </c>
      <c r="H178">
        <v>27</v>
      </c>
      <c r="I178">
        <v>96</v>
      </c>
      <c r="J178">
        <v>239</v>
      </c>
      <c r="K178">
        <v>143</v>
      </c>
    </row>
    <row r="179" spans="1:11" x14ac:dyDescent="0.3">
      <c r="A179">
        <v>10.19</v>
      </c>
      <c r="B179" t="s">
        <v>70</v>
      </c>
      <c r="C179" t="s">
        <v>323</v>
      </c>
      <c r="D179" t="s">
        <v>80</v>
      </c>
      <c r="E179">
        <v>6</v>
      </c>
      <c r="F179" t="s">
        <v>98</v>
      </c>
      <c r="G179">
        <v>17.78</v>
      </c>
      <c r="H179">
        <v>43</v>
      </c>
      <c r="I179">
        <v>83</v>
      </c>
      <c r="J179">
        <v>288</v>
      </c>
      <c r="K179">
        <v>205</v>
      </c>
    </row>
    <row r="180" spans="1:11" x14ac:dyDescent="0.3">
      <c r="A180">
        <v>10.67</v>
      </c>
      <c r="B180" t="s">
        <v>70</v>
      </c>
      <c r="C180" t="s">
        <v>324</v>
      </c>
      <c r="D180" t="s">
        <v>83</v>
      </c>
      <c r="E180">
        <v>6</v>
      </c>
      <c r="F180" t="s">
        <v>100</v>
      </c>
      <c r="G180">
        <v>21.89</v>
      </c>
      <c r="H180">
        <v>29</v>
      </c>
      <c r="I180">
        <v>67</v>
      </c>
      <c r="J180">
        <v>298</v>
      </c>
      <c r="K180">
        <v>231</v>
      </c>
    </row>
    <row r="181" spans="1:11" x14ac:dyDescent="0.3">
      <c r="A181">
        <v>9.1199999999999992</v>
      </c>
      <c r="B181" t="s">
        <v>70</v>
      </c>
      <c r="C181" t="s">
        <v>325</v>
      </c>
      <c r="D181" t="s">
        <v>77</v>
      </c>
      <c r="E181">
        <v>6</v>
      </c>
      <c r="F181" t="s">
        <v>116</v>
      </c>
      <c r="G181">
        <v>12.23</v>
      </c>
      <c r="H181">
        <v>47</v>
      </c>
      <c r="I181">
        <v>220</v>
      </c>
      <c r="J181">
        <v>419</v>
      </c>
      <c r="K181">
        <v>199</v>
      </c>
    </row>
    <row r="182" spans="1:11" x14ac:dyDescent="0.3">
      <c r="A182">
        <v>8.8699999999999992</v>
      </c>
      <c r="B182" t="s">
        <v>70</v>
      </c>
      <c r="C182" t="s">
        <v>326</v>
      </c>
      <c r="D182" t="s">
        <v>72</v>
      </c>
      <c r="E182">
        <v>6</v>
      </c>
      <c r="F182" t="s">
        <v>96</v>
      </c>
      <c r="G182">
        <v>16.47</v>
      </c>
      <c r="H182">
        <v>17</v>
      </c>
      <c r="I182">
        <v>48</v>
      </c>
      <c r="J182">
        <v>69</v>
      </c>
      <c r="K182">
        <v>21</v>
      </c>
    </row>
    <row r="183" spans="1:11" x14ac:dyDescent="0.3">
      <c r="A183">
        <v>6.26</v>
      </c>
      <c r="B183" t="s">
        <v>70</v>
      </c>
      <c r="C183" t="s">
        <v>327</v>
      </c>
      <c r="D183" t="s">
        <v>80</v>
      </c>
      <c r="E183">
        <v>6</v>
      </c>
      <c r="F183" t="s">
        <v>186</v>
      </c>
      <c r="G183">
        <v>12.45</v>
      </c>
      <c r="H183">
        <v>44</v>
      </c>
      <c r="I183">
        <v>174</v>
      </c>
      <c r="J183">
        <v>240</v>
      </c>
      <c r="K183">
        <v>66</v>
      </c>
    </row>
    <row r="184" spans="1:11" x14ac:dyDescent="0.3">
      <c r="A184">
        <v>8.86</v>
      </c>
      <c r="B184" t="s">
        <v>70</v>
      </c>
      <c r="C184" t="s">
        <v>328</v>
      </c>
      <c r="D184" t="s">
        <v>80</v>
      </c>
      <c r="E184">
        <v>6</v>
      </c>
      <c r="F184" t="s">
        <v>233</v>
      </c>
      <c r="G184">
        <v>12.62</v>
      </c>
      <c r="H184">
        <v>7</v>
      </c>
      <c r="I184">
        <v>29</v>
      </c>
      <c r="J184">
        <v>44</v>
      </c>
      <c r="K184">
        <v>15</v>
      </c>
    </row>
    <row r="185" spans="1:11" x14ac:dyDescent="0.3">
      <c r="A185">
        <v>2.85</v>
      </c>
      <c r="B185" t="s">
        <v>70</v>
      </c>
      <c r="C185" t="s">
        <v>329</v>
      </c>
      <c r="D185" t="s">
        <v>77</v>
      </c>
      <c r="E185">
        <v>6</v>
      </c>
      <c r="F185" t="s">
        <v>116</v>
      </c>
      <c r="G185">
        <v>4.62</v>
      </c>
      <c r="H185">
        <v>25</v>
      </c>
      <c r="I185">
        <v>41</v>
      </c>
      <c r="J185">
        <v>228</v>
      </c>
      <c r="K185">
        <v>187</v>
      </c>
    </row>
    <row r="186" spans="1:11" x14ac:dyDescent="0.3">
      <c r="A186">
        <v>11.64</v>
      </c>
      <c r="B186" t="s">
        <v>70</v>
      </c>
      <c r="C186" t="s">
        <v>330</v>
      </c>
      <c r="D186" t="s">
        <v>130</v>
      </c>
      <c r="E186">
        <v>6</v>
      </c>
      <c r="F186" t="s">
        <v>248</v>
      </c>
      <c r="G186">
        <v>20.14</v>
      </c>
      <c r="H186">
        <v>52</v>
      </c>
      <c r="I186">
        <v>163</v>
      </c>
      <c r="J186">
        <v>497</v>
      </c>
      <c r="K186">
        <v>334</v>
      </c>
    </row>
    <row r="187" spans="1:11" x14ac:dyDescent="0.3">
      <c r="A187">
        <v>0.66</v>
      </c>
      <c r="B187" t="s">
        <v>70</v>
      </c>
      <c r="C187" t="s">
        <v>331</v>
      </c>
      <c r="D187" t="s">
        <v>83</v>
      </c>
      <c r="E187">
        <v>6</v>
      </c>
      <c r="F187" t="s">
        <v>332</v>
      </c>
      <c r="G187">
        <v>1.28</v>
      </c>
      <c r="H187">
        <v>98</v>
      </c>
      <c r="I187">
        <v>183</v>
      </c>
      <c r="J187">
        <v>443</v>
      </c>
      <c r="K187">
        <v>260</v>
      </c>
    </row>
    <row r="188" spans="1:11" x14ac:dyDescent="0.3">
      <c r="A188">
        <v>2.59</v>
      </c>
      <c r="B188" t="s">
        <v>70</v>
      </c>
      <c r="C188" t="s">
        <v>333</v>
      </c>
      <c r="D188" t="s">
        <v>77</v>
      </c>
      <c r="E188">
        <v>6</v>
      </c>
      <c r="F188" t="s">
        <v>78</v>
      </c>
      <c r="G188">
        <v>5.19</v>
      </c>
      <c r="H188">
        <v>74</v>
      </c>
      <c r="I188">
        <v>160</v>
      </c>
      <c r="J188">
        <v>305</v>
      </c>
      <c r="K188">
        <v>145</v>
      </c>
    </row>
    <row r="189" spans="1:11" x14ac:dyDescent="0.3">
      <c r="A189">
        <v>7.87</v>
      </c>
      <c r="B189" t="s">
        <v>70</v>
      </c>
      <c r="C189" t="s">
        <v>334</v>
      </c>
      <c r="D189" t="s">
        <v>87</v>
      </c>
      <c r="E189">
        <v>6</v>
      </c>
      <c r="F189" t="s">
        <v>112</v>
      </c>
      <c r="G189">
        <v>16.57</v>
      </c>
      <c r="H189">
        <v>42</v>
      </c>
      <c r="I189">
        <v>43</v>
      </c>
      <c r="J189">
        <v>298</v>
      </c>
      <c r="K189">
        <v>255</v>
      </c>
    </row>
    <row r="190" spans="1:11" x14ac:dyDescent="0.3">
      <c r="A190">
        <v>6.23</v>
      </c>
      <c r="B190" t="s">
        <v>70</v>
      </c>
      <c r="C190" t="s">
        <v>335</v>
      </c>
      <c r="D190" t="s">
        <v>77</v>
      </c>
      <c r="E190">
        <v>6</v>
      </c>
      <c r="F190" t="s">
        <v>180</v>
      </c>
      <c r="G190">
        <v>11.35</v>
      </c>
      <c r="H190">
        <v>14</v>
      </c>
      <c r="I190">
        <v>57</v>
      </c>
      <c r="J190">
        <v>126</v>
      </c>
      <c r="K190">
        <v>69</v>
      </c>
    </row>
    <row r="191" spans="1:11" x14ac:dyDescent="0.3">
      <c r="A191">
        <v>6.32</v>
      </c>
      <c r="B191" t="s">
        <v>70</v>
      </c>
      <c r="C191" t="s">
        <v>336</v>
      </c>
      <c r="D191" t="s">
        <v>87</v>
      </c>
      <c r="E191">
        <v>6</v>
      </c>
      <c r="F191" t="s">
        <v>337</v>
      </c>
      <c r="G191">
        <v>10.55</v>
      </c>
      <c r="H191">
        <v>104</v>
      </c>
      <c r="I191">
        <v>375</v>
      </c>
      <c r="J191">
        <v>478</v>
      </c>
      <c r="K191">
        <v>103</v>
      </c>
    </row>
    <row r="192" spans="1:11" x14ac:dyDescent="0.3">
      <c r="A192">
        <v>3.94</v>
      </c>
      <c r="B192" t="s">
        <v>70</v>
      </c>
      <c r="C192" t="s">
        <v>338</v>
      </c>
      <c r="D192" t="s">
        <v>77</v>
      </c>
      <c r="E192">
        <v>6</v>
      </c>
      <c r="F192" t="s">
        <v>262</v>
      </c>
      <c r="G192">
        <v>6.91</v>
      </c>
      <c r="H192">
        <v>71</v>
      </c>
      <c r="I192">
        <v>251</v>
      </c>
      <c r="J192">
        <v>407</v>
      </c>
      <c r="K192">
        <v>156</v>
      </c>
    </row>
    <row r="193" spans="1:11" x14ac:dyDescent="0.3">
      <c r="A193">
        <v>10.5</v>
      </c>
      <c r="B193" t="s">
        <v>70</v>
      </c>
      <c r="C193" t="s">
        <v>339</v>
      </c>
      <c r="D193" t="s">
        <v>130</v>
      </c>
      <c r="E193">
        <v>6</v>
      </c>
      <c r="F193" t="s">
        <v>228</v>
      </c>
      <c r="G193">
        <v>15.85</v>
      </c>
      <c r="H193">
        <v>88</v>
      </c>
      <c r="I193">
        <v>134</v>
      </c>
      <c r="J193">
        <v>426</v>
      </c>
      <c r="K193">
        <v>292</v>
      </c>
    </row>
    <row r="194" spans="1:11" x14ac:dyDescent="0.3">
      <c r="A194">
        <v>8.65</v>
      </c>
      <c r="B194" t="s">
        <v>70</v>
      </c>
      <c r="C194" t="s">
        <v>340</v>
      </c>
      <c r="D194" t="s">
        <v>77</v>
      </c>
      <c r="E194">
        <v>6</v>
      </c>
      <c r="F194" t="s">
        <v>341</v>
      </c>
      <c r="G194">
        <v>15.99</v>
      </c>
      <c r="H194">
        <v>54</v>
      </c>
      <c r="I194">
        <v>283</v>
      </c>
      <c r="J194">
        <v>347</v>
      </c>
      <c r="K194">
        <v>64</v>
      </c>
    </row>
    <row r="195" spans="1:11" x14ac:dyDescent="0.3">
      <c r="A195">
        <v>20.23</v>
      </c>
      <c r="B195" t="s">
        <v>70</v>
      </c>
      <c r="C195" t="s">
        <v>342</v>
      </c>
      <c r="D195" t="s">
        <v>93</v>
      </c>
      <c r="E195">
        <v>6</v>
      </c>
      <c r="F195" t="s">
        <v>156</v>
      </c>
      <c r="G195">
        <v>43.8</v>
      </c>
      <c r="H195">
        <v>82</v>
      </c>
      <c r="I195">
        <v>213</v>
      </c>
      <c r="J195">
        <v>347</v>
      </c>
      <c r="K195">
        <v>134</v>
      </c>
    </row>
    <row r="196" spans="1:11" x14ac:dyDescent="0.3">
      <c r="A196">
        <v>5.38</v>
      </c>
      <c r="B196" t="s">
        <v>70</v>
      </c>
      <c r="C196" t="s">
        <v>343</v>
      </c>
      <c r="D196" t="s">
        <v>83</v>
      </c>
      <c r="E196">
        <v>6</v>
      </c>
      <c r="F196" t="s">
        <v>120</v>
      </c>
      <c r="G196">
        <v>10.07</v>
      </c>
      <c r="H196">
        <v>17</v>
      </c>
      <c r="I196">
        <v>138</v>
      </c>
      <c r="J196">
        <v>159</v>
      </c>
      <c r="K196">
        <v>21</v>
      </c>
    </row>
    <row r="197" spans="1:11" x14ac:dyDescent="0.3">
      <c r="A197">
        <v>7.86</v>
      </c>
      <c r="B197" t="s">
        <v>70</v>
      </c>
      <c r="C197" t="s">
        <v>344</v>
      </c>
      <c r="D197" t="s">
        <v>90</v>
      </c>
      <c r="E197">
        <v>6</v>
      </c>
      <c r="F197" t="s">
        <v>164</v>
      </c>
      <c r="G197">
        <v>12.78</v>
      </c>
      <c r="H197">
        <v>34</v>
      </c>
      <c r="I197">
        <v>42</v>
      </c>
      <c r="J197">
        <v>338</v>
      </c>
      <c r="K197">
        <v>296</v>
      </c>
    </row>
    <row r="198" spans="1:11" x14ac:dyDescent="0.3">
      <c r="A198">
        <v>11.09</v>
      </c>
      <c r="B198" t="s">
        <v>70</v>
      </c>
      <c r="C198" t="s">
        <v>345</v>
      </c>
      <c r="D198" t="s">
        <v>72</v>
      </c>
      <c r="E198">
        <v>6</v>
      </c>
      <c r="F198" t="s">
        <v>197</v>
      </c>
      <c r="G198">
        <v>23.91</v>
      </c>
      <c r="H198">
        <v>76</v>
      </c>
      <c r="I198">
        <v>91</v>
      </c>
      <c r="J198">
        <v>467</v>
      </c>
      <c r="K198">
        <v>376</v>
      </c>
    </row>
    <row r="199" spans="1:11" x14ac:dyDescent="0.3">
      <c r="A199">
        <v>5.68</v>
      </c>
      <c r="B199" t="s">
        <v>70</v>
      </c>
      <c r="C199" t="s">
        <v>346</v>
      </c>
      <c r="D199" t="s">
        <v>77</v>
      </c>
      <c r="E199">
        <v>6</v>
      </c>
      <c r="F199" t="s">
        <v>78</v>
      </c>
      <c r="G199">
        <v>9.07</v>
      </c>
      <c r="H199">
        <v>24</v>
      </c>
      <c r="I199">
        <v>99</v>
      </c>
      <c r="J199">
        <v>196</v>
      </c>
      <c r="K199">
        <v>97</v>
      </c>
    </row>
    <row r="200" spans="1:11" x14ac:dyDescent="0.3">
      <c r="A200">
        <v>39.799999999999997</v>
      </c>
      <c r="B200" t="s">
        <v>70</v>
      </c>
      <c r="C200" t="s">
        <v>347</v>
      </c>
      <c r="D200" t="s">
        <v>90</v>
      </c>
      <c r="E200">
        <v>6</v>
      </c>
      <c r="F200" t="s">
        <v>127</v>
      </c>
      <c r="G200">
        <v>54.47</v>
      </c>
      <c r="H200">
        <v>54</v>
      </c>
      <c r="I200">
        <v>91</v>
      </c>
      <c r="J200">
        <v>328</v>
      </c>
      <c r="K200">
        <v>237</v>
      </c>
    </row>
    <row r="201" spans="1:11" x14ac:dyDescent="0.3">
      <c r="A201">
        <v>10.48</v>
      </c>
      <c r="B201" t="s">
        <v>70</v>
      </c>
      <c r="C201" t="s">
        <v>348</v>
      </c>
      <c r="D201" t="s">
        <v>77</v>
      </c>
      <c r="E201">
        <v>6</v>
      </c>
      <c r="F201" t="s">
        <v>349</v>
      </c>
      <c r="G201">
        <v>15.08</v>
      </c>
      <c r="H201">
        <v>44</v>
      </c>
      <c r="I201">
        <v>265</v>
      </c>
      <c r="J201">
        <v>405</v>
      </c>
      <c r="K201">
        <v>140</v>
      </c>
    </row>
    <row r="202" spans="1:11" x14ac:dyDescent="0.3">
      <c r="A202">
        <v>8.91</v>
      </c>
      <c r="B202" t="s">
        <v>70</v>
      </c>
      <c r="C202" t="s">
        <v>350</v>
      </c>
      <c r="D202" t="s">
        <v>83</v>
      </c>
      <c r="E202">
        <v>6</v>
      </c>
      <c r="F202" t="s">
        <v>175</v>
      </c>
      <c r="G202">
        <v>13.27</v>
      </c>
      <c r="H202">
        <v>48</v>
      </c>
      <c r="I202">
        <v>88</v>
      </c>
      <c r="J202">
        <v>273</v>
      </c>
      <c r="K202">
        <v>185</v>
      </c>
    </row>
    <row r="203" spans="1:11" x14ac:dyDescent="0.3">
      <c r="A203">
        <v>74.17</v>
      </c>
      <c r="B203" t="s">
        <v>70</v>
      </c>
      <c r="C203" t="s">
        <v>351</v>
      </c>
      <c r="D203" t="s">
        <v>90</v>
      </c>
      <c r="E203">
        <v>6</v>
      </c>
      <c r="F203" t="s">
        <v>352</v>
      </c>
      <c r="G203">
        <v>143.83000000000001</v>
      </c>
      <c r="H203">
        <v>51</v>
      </c>
      <c r="I203">
        <v>302</v>
      </c>
      <c r="J203">
        <v>489</v>
      </c>
      <c r="K203">
        <v>187</v>
      </c>
    </row>
    <row r="204" spans="1:11" x14ac:dyDescent="0.3">
      <c r="A204">
        <v>10.82</v>
      </c>
      <c r="B204" t="s">
        <v>70</v>
      </c>
      <c r="C204" t="s">
        <v>353</v>
      </c>
      <c r="D204" t="s">
        <v>130</v>
      </c>
      <c r="E204">
        <v>6</v>
      </c>
      <c r="F204" t="s">
        <v>143</v>
      </c>
      <c r="G204">
        <v>22.98</v>
      </c>
      <c r="H204">
        <v>8</v>
      </c>
      <c r="I204">
        <v>13</v>
      </c>
      <c r="J204">
        <v>57</v>
      </c>
      <c r="K204">
        <v>44</v>
      </c>
    </row>
    <row r="205" spans="1:11" x14ac:dyDescent="0.3">
      <c r="A205">
        <v>11.77</v>
      </c>
      <c r="B205" t="s">
        <v>70</v>
      </c>
      <c r="C205" t="s">
        <v>354</v>
      </c>
      <c r="D205" t="s">
        <v>77</v>
      </c>
      <c r="E205">
        <v>1</v>
      </c>
      <c r="F205" t="s">
        <v>140</v>
      </c>
      <c r="G205">
        <v>25.18</v>
      </c>
      <c r="H205">
        <v>22</v>
      </c>
      <c r="I205">
        <v>125</v>
      </c>
      <c r="J205">
        <v>139</v>
      </c>
      <c r="K205">
        <v>14</v>
      </c>
    </row>
    <row r="206" spans="1:11" x14ac:dyDescent="0.3">
      <c r="A206">
        <v>15.81</v>
      </c>
      <c r="B206" t="s">
        <v>70</v>
      </c>
      <c r="C206" t="s">
        <v>355</v>
      </c>
      <c r="D206" t="s">
        <v>80</v>
      </c>
      <c r="E206">
        <v>1</v>
      </c>
      <c r="F206" t="s">
        <v>356</v>
      </c>
      <c r="G206">
        <v>30.84</v>
      </c>
      <c r="H206">
        <v>14</v>
      </c>
      <c r="I206">
        <v>73</v>
      </c>
      <c r="J206">
        <v>114</v>
      </c>
      <c r="K206">
        <v>41</v>
      </c>
    </row>
    <row r="207" spans="1:11" x14ac:dyDescent="0.3">
      <c r="A207">
        <v>14.02</v>
      </c>
      <c r="B207" t="s">
        <v>70</v>
      </c>
      <c r="C207" t="s">
        <v>357</v>
      </c>
      <c r="D207" t="s">
        <v>80</v>
      </c>
      <c r="E207">
        <v>1</v>
      </c>
      <c r="F207" t="s">
        <v>104</v>
      </c>
      <c r="G207">
        <v>23.8</v>
      </c>
      <c r="H207">
        <v>5</v>
      </c>
      <c r="I207">
        <v>16</v>
      </c>
      <c r="J207">
        <v>21</v>
      </c>
      <c r="K207">
        <v>5</v>
      </c>
    </row>
    <row r="208" spans="1:11" x14ac:dyDescent="0.3">
      <c r="A208">
        <v>23.27</v>
      </c>
      <c r="B208" t="s">
        <v>70</v>
      </c>
      <c r="C208" t="s">
        <v>358</v>
      </c>
      <c r="D208" t="s">
        <v>130</v>
      </c>
      <c r="E208">
        <v>1</v>
      </c>
      <c r="F208" t="s">
        <v>173</v>
      </c>
      <c r="G208">
        <v>45.93</v>
      </c>
      <c r="H208">
        <v>55</v>
      </c>
      <c r="I208">
        <v>147</v>
      </c>
      <c r="J208">
        <v>438</v>
      </c>
      <c r="K208">
        <v>291</v>
      </c>
    </row>
    <row r="209" spans="1:11" x14ac:dyDescent="0.3">
      <c r="A209">
        <v>25.35</v>
      </c>
      <c r="B209" t="s">
        <v>70</v>
      </c>
      <c r="C209" t="s">
        <v>359</v>
      </c>
      <c r="D209" t="s">
        <v>90</v>
      </c>
      <c r="E209">
        <v>1</v>
      </c>
      <c r="F209" t="s">
        <v>219</v>
      </c>
      <c r="G209">
        <v>49.22</v>
      </c>
      <c r="H209">
        <v>42</v>
      </c>
      <c r="I209">
        <v>86</v>
      </c>
      <c r="J209">
        <v>245</v>
      </c>
      <c r="K209">
        <v>159</v>
      </c>
    </row>
    <row r="210" spans="1:11" x14ac:dyDescent="0.3">
      <c r="A210">
        <v>10.3</v>
      </c>
      <c r="B210" t="s">
        <v>70</v>
      </c>
      <c r="C210" t="s">
        <v>360</v>
      </c>
      <c r="D210" t="s">
        <v>93</v>
      </c>
      <c r="E210">
        <v>1</v>
      </c>
      <c r="F210" t="s">
        <v>252</v>
      </c>
      <c r="G210">
        <v>20.77</v>
      </c>
      <c r="H210">
        <v>76</v>
      </c>
      <c r="I210">
        <v>320</v>
      </c>
      <c r="J210">
        <v>457</v>
      </c>
      <c r="K210">
        <v>137</v>
      </c>
    </row>
    <row r="211" spans="1:11" x14ac:dyDescent="0.3">
      <c r="A211">
        <v>23.78</v>
      </c>
      <c r="B211" t="s">
        <v>70</v>
      </c>
      <c r="C211" t="s">
        <v>361</v>
      </c>
      <c r="D211" t="s">
        <v>72</v>
      </c>
      <c r="E211">
        <v>1</v>
      </c>
      <c r="F211" t="s">
        <v>75</v>
      </c>
      <c r="G211">
        <v>39.71</v>
      </c>
      <c r="H211">
        <v>30</v>
      </c>
      <c r="I211">
        <v>65</v>
      </c>
      <c r="J211">
        <v>148</v>
      </c>
      <c r="K211">
        <v>83</v>
      </c>
    </row>
    <row r="212" spans="1:11" x14ac:dyDescent="0.3">
      <c r="A212">
        <v>1</v>
      </c>
      <c r="B212" t="s">
        <v>70</v>
      </c>
      <c r="C212" t="s">
        <v>362</v>
      </c>
      <c r="D212" t="s">
        <v>80</v>
      </c>
      <c r="E212">
        <v>1</v>
      </c>
      <c r="F212" t="s">
        <v>81</v>
      </c>
      <c r="G212">
        <v>1.64</v>
      </c>
      <c r="H212">
        <v>69</v>
      </c>
      <c r="I212">
        <v>206</v>
      </c>
      <c r="J212">
        <v>305</v>
      </c>
      <c r="K212">
        <v>99</v>
      </c>
    </row>
    <row r="213" spans="1:11" x14ac:dyDescent="0.3">
      <c r="A213">
        <v>24.03</v>
      </c>
      <c r="B213" t="s">
        <v>70</v>
      </c>
      <c r="C213" t="s">
        <v>363</v>
      </c>
      <c r="D213" t="s">
        <v>72</v>
      </c>
      <c r="E213">
        <v>1</v>
      </c>
      <c r="F213" t="s">
        <v>73</v>
      </c>
      <c r="G213">
        <v>49.91</v>
      </c>
      <c r="H213">
        <v>52</v>
      </c>
      <c r="I213">
        <v>277</v>
      </c>
      <c r="J213">
        <v>455</v>
      </c>
      <c r="K213">
        <v>178</v>
      </c>
    </row>
    <row r="214" spans="1:11" x14ac:dyDescent="0.3">
      <c r="A214">
        <v>12.24</v>
      </c>
      <c r="B214" t="s">
        <v>70</v>
      </c>
      <c r="C214" t="s">
        <v>364</v>
      </c>
      <c r="D214" t="s">
        <v>130</v>
      </c>
      <c r="E214">
        <v>1</v>
      </c>
      <c r="F214" t="s">
        <v>290</v>
      </c>
      <c r="G214">
        <v>21.52</v>
      </c>
      <c r="H214">
        <v>5</v>
      </c>
      <c r="I214">
        <v>35</v>
      </c>
      <c r="J214">
        <v>42</v>
      </c>
      <c r="K214">
        <v>7</v>
      </c>
    </row>
    <row r="215" spans="1:11" x14ac:dyDescent="0.3">
      <c r="A215">
        <v>0.67</v>
      </c>
      <c r="B215" t="s">
        <v>70</v>
      </c>
      <c r="C215" t="s">
        <v>365</v>
      </c>
      <c r="D215" t="s">
        <v>83</v>
      </c>
      <c r="E215">
        <v>1</v>
      </c>
      <c r="F215" t="s">
        <v>210</v>
      </c>
      <c r="G215">
        <v>1.39</v>
      </c>
      <c r="H215">
        <v>60</v>
      </c>
      <c r="I215">
        <v>241</v>
      </c>
      <c r="J215">
        <v>478</v>
      </c>
      <c r="K215">
        <v>237</v>
      </c>
    </row>
    <row r="216" spans="1:11" x14ac:dyDescent="0.3">
      <c r="A216">
        <v>6.17</v>
      </c>
      <c r="B216" t="s">
        <v>70</v>
      </c>
      <c r="C216" t="s">
        <v>366</v>
      </c>
      <c r="D216" t="s">
        <v>93</v>
      </c>
      <c r="E216">
        <v>1</v>
      </c>
      <c r="F216" t="s">
        <v>171</v>
      </c>
      <c r="G216">
        <v>10.82</v>
      </c>
      <c r="H216">
        <v>44</v>
      </c>
      <c r="I216">
        <v>118</v>
      </c>
      <c r="J216">
        <v>397</v>
      </c>
      <c r="K216">
        <v>279</v>
      </c>
    </row>
    <row r="217" spans="1:11" x14ac:dyDescent="0.3">
      <c r="A217">
        <v>20.88</v>
      </c>
      <c r="B217" t="s">
        <v>70</v>
      </c>
      <c r="C217" t="s">
        <v>367</v>
      </c>
      <c r="D217" t="s">
        <v>93</v>
      </c>
      <c r="E217">
        <v>1</v>
      </c>
      <c r="F217" t="s">
        <v>125</v>
      </c>
      <c r="G217">
        <v>31.41</v>
      </c>
      <c r="H217">
        <v>29</v>
      </c>
      <c r="I217">
        <v>156</v>
      </c>
      <c r="J217">
        <v>216</v>
      </c>
      <c r="K217">
        <v>60</v>
      </c>
    </row>
    <row r="218" spans="1:11" x14ac:dyDescent="0.3">
      <c r="A218">
        <v>9.75</v>
      </c>
      <c r="B218" t="s">
        <v>70</v>
      </c>
      <c r="C218" t="s">
        <v>368</v>
      </c>
      <c r="D218" t="s">
        <v>80</v>
      </c>
      <c r="E218">
        <v>1</v>
      </c>
      <c r="F218" t="s">
        <v>98</v>
      </c>
      <c r="G218">
        <v>18.84</v>
      </c>
      <c r="H218">
        <v>36</v>
      </c>
      <c r="I218">
        <v>264</v>
      </c>
      <c r="J218">
        <v>326</v>
      </c>
      <c r="K218">
        <v>62</v>
      </c>
    </row>
    <row r="219" spans="1:11" x14ac:dyDescent="0.3">
      <c r="A219">
        <v>4.47</v>
      </c>
      <c r="B219" t="s">
        <v>70</v>
      </c>
      <c r="C219" t="s">
        <v>369</v>
      </c>
      <c r="D219" t="s">
        <v>77</v>
      </c>
      <c r="E219">
        <v>1</v>
      </c>
      <c r="F219" t="s">
        <v>349</v>
      </c>
      <c r="G219">
        <v>8.83</v>
      </c>
      <c r="H219">
        <v>51</v>
      </c>
      <c r="I219">
        <v>192</v>
      </c>
      <c r="J219">
        <v>327</v>
      </c>
      <c r="K219">
        <v>135</v>
      </c>
    </row>
    <row r="220" spans="1:11" x14ac:dyDescent="0.3">
      <c r="A220">
        <v>20.87</v>
      </c>
      <c r="B220" t="s">
        <v>70</v>
      </c>
      <c r="C220" t="s">
        <v>370</v>
      </c>
      <c r="D220" t="s">
        <v>130</v>
      </c>
      <c r="E220">
        <v>1</v>
      </c>
      <c r="F220" t="s">
        <v>290</v>
      </c>
      <c r="G220">
        <v>42.75</v>
      </c>
      <c r="H220">
        <v>43</v>
      </c>
      <c r="I220">
        <v>70</v>
      </c>
      <c r="J220">
        <v>275</v>
      </c>
      <c r="K220">
        <v>205</v>
      </c>
    </row>
    <row r="221" spans="1:11" x14ac:dyDescent="0.3">
      <c r="A221">
        <v>15.63</v>
      </c>
      <c r="B221" t="s">
        <v>70</v>
      </c>
      <c r="C221" t="s">
        <v>371</v>
      </c>
      <c r="D221" t="s">
        <v>72</v>
      </c>
      <c r="E221">
        <v>1</v>
      </c>
      <c r="F221" t="s">
        <v>265</v>
      </c>
      <c r="G221">
        <v>31.54</v>
      </c>
      <c r="H221">
        <v>53</v>
      </c>
      <c r="I221">
        <v>231</v>
      </c>
      <c r="J221">
        <v>286</v>
      </c>
      <c r="K221">
        <v>55</v>
      </c>
    </row>
    <row r="222" spans="1:11" x14ac:dyDescent="0.3">
      <c r="A222">
        <v>22.7</v>
      </c>
      <c r="B222" t="s">
        <v>70</v>
      </c>
      <c r="C222" t="s">
        <v>372</v>
      </c>
      <c r="D222" t="s">
        <v>130</v>
      </c>
      <c r="E222">
        <v>1</v>
      </c>
      <c r="F222" t="s">
        <v>131</v>
      </c>
      <c r="G222">
        <v>43.04</v>
      </c>
      <c r="H222">
        <v>63</v>
      </c>
      <c r="I222">
        <v>142</v>
      </c>
      <c r="J222">
        <v>304</v>
      </c>
      <c r="K222">
        <v>162</v>
      </c>
    </row>
    <row r="223" spans="1:11" x14ac:dyDescent="0.3">
      <c r="A223">
        <v>12.94</v>
      </c>
      <c r="B223" t="s">
        <v>70</v>
      </c>
      <c r="C223" t="s">
        <v>373</v>
      </c>
      <c r="D223" t="s">
        <v>87</v>
      </c>
      <c r="E223">
        <v>1</v>
      </c>
      <c r="F223" t="s">
        <v>337</v>
      </c>
      <c r="G223">
        <v>23.62</v>
      </c>
      <c r="H223">
        <v>101</v>
      </c>
      <c r="I223">
        <v>167</v>
      </c>
      <c r="J223">
        <v>477</v>
      </c>
      <c r="K223">
        <v>310</v>
      </c>
    </row>
    <row r="224" spans="1:11" x14ac:dyDescent="0.3">
      <c r="A224">
        <v>4.05</v>
      </c>
      <c r="B224" t="s">
        <v>70</v>
      </c>
      <c r="C224" t="s">
        <v>374</v>
      </c>
      <c r="D224" t="s">
        <v>77</v>
      </c>
      <c r="E224">
        <v>1</v>
      </c>
      <c r="F224" t="s">
        <v>257</v>
      </c>
      <c r="G224">
        <v>8.64</v>
      </c>
      <c r="H224">
        <v>5</v>
      </c>
      <c r="I224">
        <v>22</v>
      </c>
      <c r="J224">
        <v>45</v>
      </c>
      <c r="K224">
        <v>23</v>
      </c>
    </row>
    <row r="225" spans="1:11" x14ac:dyDescent="0.3">
      <c r="A225">
        <v>15.63</v>
      </c>
      <c r="B225" t="s">
        <v>70</v>
      </c>
      <c r="C225" t="s">
        <v>375</v>
      </c>
      <c r="D225" t="s">
        <v>80</v>
      </c>
      <c r="E225">
        <v>1</v>
      </c>
      <c r="F225" t="s">
        <v>104</v>
      </c>
      <c r="G225">
        <v>32.200000000000003</v>
      </c>
      <c r="H225">
        <v>54</v>
      </c>
      <c r="I225">
        <v>151</v>
      </c>
      <c r="J225">
        <v>432</v>
      </c>
      <c r="K225">
        <v>281</v>
      </c>
    </row>
    <row r="226" spans="1:11" x14ac:dyDescent="0.3">
      <c r="A226">
        <v>13.6</v>
      </c>
      <c r="B226" t="s">
        <v>70</v>
      </c>
      <c r="C226" t="s">
        <v>376</v>
      </c>
      <c r="D226" t="s">
        <v>87</v>
      </c>
      <c r="E226">
        <v>1</v>
      </c>
      <c r="F226" t="s">
        <v>112</v>
      </c>
      <c r="G226">
        <v>27.16</v>
      </c>
      <c r="H226">
        <v>10</v>
      </c>
      <c r="I226">
        <v>21</v>
      </c>
      <c r="J226">
        <v>54</v>
      </c>
      <c r="K226">
        <v>33</v>
      </c>
    </row>
    <row r="227" spans="1:11" x14ac:dyDescent="0.3">
      <c r="A227">
        <v>78.790000000000006</v>
      </c>
      <c r="B227" t="s">
        <v>70</v>
      </c>
      <c r="C227" t="s">
        <v>377</v>
      </c>
      <c r="D227" t="s">
        <v>90</v>
      </c>
      <c r="E227">
        <v>1</v>
      </c>
      <c r="F227" t="s">
        <v>127</v>
      </c>
      <c r="G227">
        <v>107.46</v>
      </c>
      <c r="H227">
        <v>65</v>
      </c>
      <c r="I227">
        <v>169</v>
      </c>
      <c r="J227">
        <v>319</v>
      </c>
      <c r="K227">
        <v>150</v>
      </c>
    </row>
    <row r="228" spans="1:11" x14ac:dyDescent="0.3">
      <c r="A228">
        <v>8.76</v>
      </c>
      <c r="B228" t="s">
        <v>70</v>
      </c>
      <c r="C228" t="s">
        <v>378</v>
      </c>
      <c r="D228" t="s">
        <v>83</v>
      </c>
      <c r="E228">
        <v>1</v>
      </c>
      <c r="F228" t="s">
        <v>120</v>
      </c>
      <c r="G228">
        <v>14.39</v>
      </c>
      <c r="H228">
        <v>55</v>
      </c>
      <c r="I228">
        <v>76</v>
      </c>
      <c r="J228">
        <v>277</v>
      </c>
      <c r="K228">
        <v>201</v>
      </c>
    </row>
    <row r="229" spans="1:11" x14ac:dyDescent="0.3">
      <c r="A229">
        <v>6.69</v>
      </c>
      <c r="B229" t="s">
        <v>70</v>
      </c>
      <c r="C229" t="s">
        <v>379</v>
      </c>
      <c r="D229" t="s">
        <v>83</v>
      </c>
      <c r="E229">
        <v>1</v>
      </c>
      <c r="F229" t="s">
        <v>307</v>
      </c>
      <c r="G229">
        <v>11.15</v>
      </c>
      <c r="H229">
        <v>33</v>
      </c>
      <c r="I229">
        <v>47</v>
      </c>
      <c r="J229">
        <v>156</v>
      </c>
      <c r="K229">
        <v>109</v>
      </c>
    </row>
    <row r="230" spans="1:11" x14ac:dyDescent="0.3">
      <c r="A230">
        <v>9.11</v>
      </c>
      <c r="B230" t="s">
        <v>70</v>
      </c>
      <c r="C230" t="s">
        <v>380</v>
      </c>
      <c r="D230" t="s">
        <v>87</v>
      </c>
      <c r="E230">
        <v>1</v>
      </c>
      <c r="F230" t="s">
        <v>337</v>
      </c>
      <c r="G230">
        <v>19.87</v>
      </c>
      <c r="H230">
        <v>58</v>
      </c>
      <c r="I230">
        <v>154</v>
      </c>
      <c r="J230">
        <v>250</v>
      </c>
      <c r="K230">
        <v>96</v>
      </c>
    </row>
    <row r="231" spans="1:11" x14ac:dyDescent="0.3">
      <c r="A231">
        <v>28.78</v>
      </c>
      <c r="B231" t="s">
        <v>70</v>
      </c>
      <c r="C231" t="s">
        <v>381</v>
      </c>
      <c r="D231" t="s">
        <v>93</v>
      </c>
      <c r="E231">
        <v>1</v>
      </c>
      <c r="F231" t="s">
        <v>252</v>
      </c>
      <c r="G231">
        <v>45.78</v>
      </c>
      <c r="H231">
        <v>117</v>
      </c>
      <c r="I231">
        <v>277</v>
      </c>
      <c r="J231">
        <v>476</v>
      </c>
      <c r="K231">
        <v>199</v>
      </c>
    </row>
    <row r="232" spans="1:11" x14ac:dyDescent="0.3">
      <c r="A232">
        <v>77.25</v>
      </c>
      <c r="B232" t="s">
        <v>70</v>
      </c>
      <c r="C232" t="s">
        <v>382</v>
      </c>
      <c r="D232" t="s">
        <v>90</v>
      </c>
      <c r="E232">
        <v>1</v>
      </c>
      <c r="F232" t="s">
        <v>177</v>
      </c>
      <c r="G232">
        <v>157.4</v>
      </c>
      <c r="H232">
        <v>30</v>
      </c>
      <c r="I232">
        <v>53</v>
      </c>
      <c r="J232">
        <v>250</v>
      </c>
      <c r="K232">
        <v>197</v>
      </c>
    </row>
    <row r="233" spans="1:11" x14ac:dyDescent="0.3">
      <c r="A233">
        <v>19.309999999999999</v>
      </c>
      <c r="B233" t="s">
        <v>70</v>
      </c>
      <c r="C233" t="s">
        <v>383</v>
      </c>
      <c r="D233" t="s">
        <v>87</v>
      </c>
      <c r="E233">
        <v>1</v>
      </c>
      <c r="F233" t="s">
        <v>110</v>
      </c>
      <c r="G233">
        <v>39.950000000000003</v>
      </c>
      <c r="H233">
        <v>93</v>
      </c>
      <c r="I233">
        <v>179</v>
      </c>
      <c r="J233">
        <v>383</v>
      </c>
      <c r="K233">
        <v>204</v>
      </c>
    </row>
    <row r="234" spans="1:11" x14ac:dyDescent="0.3">
      <c r="A234">
        <v>14.11</v>
      </c>
      <c r="B234" t="s">
        <v>70</v>
      </c>
      <c r="C234" t="s">
        <v>384</v>
      </c>
      <c r="D234" t="s">
        <v>83</v>
      </c>
      <c r="E234">
        <v>1</v>
      </c>
      <c r="F234" t="s">
        <v>210</v>
      </c>
      <c r="G234">
        <v>23.39</v>
      </c>
      <c r="H234">
        <v>45</v>
      </c>
      <c r="I234">
        <v>62</v>
      </c>
      <c r="J234">
        <v>194</v>
      </c>
      <c r="K234">
        <v>132</v>
      </c>
    </row>
    <row r="235" spans="1:11" x14ac:dyDescent="0.3">
      <c r="A235">
        <v>19.28</v>
      </c>
      <c r="B235" t="s">
        <v>70</v>
      </c>
      <c r="C235" t="s">
        <v>385</v>
      </c>
      <c r="D235" t="s">
        <v>80</v>
      </c>
      <c r="E235">
        <v>1</v>
      </c>
      <c r="F235" t="s">
        <v>233</v>
      </c>
      <c r="G235">
        <v>25.27</v>
      </c>
      <c r="H235">
        <v>65</v>
      </c>
      <c r="I235">
        <v>92</v>
      </c>
      <c r="J235">
        <v>349</v>
      </c>
      <c r="K235">
        <v>257</v>
      </c>
    </row>
    <row r="236" spans="1:11" x14ac:dyDescent="0.3">
      <c r="A236">
        <v>11.05</v>
      </c>
      <c r="B236" t="s">
        <v>70</v>
      </c>
      <c r="C236" t="s">
        <v>386</v>
      </c>
      <c r="D236" t="s">
        <v>83</v>
      </c>
      <c r="E236">
        <v>1</v>
      </c>
      <c r="F236" t="s">
        <v>206</v>
      </c>
      <c r="G236">
        <v>21.3</v>
      </c>
      <c r="H236">
        <v>7</v>
      </c>
      <c r="I236">
        <v>28</v>
      </c>
      <c r="J236">
        <v>66</v>
      </c>
      <c r="K236">
        <v>38</v>
      </c>
    </row>
    <row r="237" spans="1:11" x14ac:dyDescent="0.3">
      <c r="A237">
        <v>10.87</v>
      </c>
      <c r="B237" t="s">
        <v>70</v>
      </c>
      <c r="C237" t="s">
        <v>387</v>
      </c>
      <c r="D237" t="s">
        <v>77</v>
      </c>
      <c r="E237">
        <v>1</v>
      </c>
      <c r="F237" t="s">
        <v>257</v>
      </c>
      <c r="G237">
        <v>17.88</v>
      </c>
      <c r="H237">
        <v>8</v>
      </c>
      <c r="I237">
        <v>16</v>
      </c>
      <c r="J237">
        <v>49</v>
      </c>
      <c r="K237">
        <v>33</v>
      </c>
    </row>
    <row r="238" spans="1:11" x14ac:dyDescent="0.3">
      <c r="A238">
        <v>4.34</v>
      </c>
      <c r="B238" t="s">
        <v>70</v>
      </c>
      <c r="C238" t="s">
        <v>388</v>
      </c>
      <c r="D238" t="s">
        <v>87</v>
      </c>
      <c r="E238">
        <v>1</v>
      </c>
      <c r="F238" t="s">
        <v>110</v>
      </c>
      <c r="G238">
        <v>9.01</v>
      </c>
      <c r="H238">
        <v>33</v>
      </c>
      <c r="I238">
        <v>36</v>
      </c>
      <c r="J238">
        <v>141</v>
      </c>
      <c r="K238">
        <v>105</v>
      </c>
    </row>
    <row r="239" spans="1:11" x14ac:dyDescent="0.3">
      <c r="A239">
        <v>12.22</v>
      </c>
      <c r="B239" t="s">
        <v>70</v>
      </c>
      <c r="C239" t="s">
        <v>389</v>
      </c>
      <c r="D239" t="s">
        <v>83</v>
      </c>
      <c r="E239">
        <v>1</v>
      </c>
      <c r="F239" t="s">
        <v>206</v>
      </c>
      <c r="G239">
        <v>20.61</v>
      </c>
      <c r="H239">
        <v>69</v>
      </c>
      <c r="I239">
        <v>100</v>
      </c>
      <c r="J239">
        <v>294</v>
      </c>
      <c r="K239">
        <v>194</v>
      </c>
    </row>
    <row r="240" spans="1:11" x14ac:dyDescent="0.3">
      <c r="A240">
        <v>9.69</v>
      </c>
      <c r="B240" t="s">
        <v>70</v>
      </c>
      <c r="C240" t="s">
        <v>390</v>
      </c>
      <c r="D240" t="s">
        <v>77</v>
      </c>
      <c r="E240">
        <v>1</v>
      </c>
      <c r="F240" t="s">
        <v>349</v>
      </c>
      <c r="G240">
        <v>21.27</v>
      </c>
      <c r="H240">
        <v>15</v>
      </c>
      <c r="I240">
        <v>17</v>
      </c>
      <c r="J240">
        <v>69</v>
      </c>
      <c r="K240">
        <v>52</v>
      </c>
    </row>
    <row r="241" spans="1:11" x14ac:dyDescent="0.3">
      <c r="A241">
        <v>5.35</v>
      </c>
      <c r="B241" t="s">
        <v>70</v>
      </c>
      <c r="C241" t="s">
        <v>391</v>
      </c>
      <c r="D241" t="s">
        <v>87</v>
      </c>
      <c r="E241">
        <v>1</v>
      </c>
      <c r="F241" t="s">
        <v>138</v>
      </c>
      <c r="G241">
        <v>7.5</v>
      </c>
      <c r="H241">
        <v>45</v>
      </c>
      <c r="I241">
        <v>212</v>
      </c>
      <c r="J241">
        <v>314</v>
      </c>
      <c r="K241">
        <v>102</v>
      </c>
    </row>
    <row r="242" spans="1:11" x14ac:dyDescent="0.3">
      <c r="A242">
        <v>60.48</v>
      </c>
      <c r="B242" t="s">
        <v>70</v>
      </c>
      <c r="C242" t="s">
        <v>392</v>
      </c>
      <c r="D242" t="s">
        <v>90</v>
      </c>
      <c r="E242">
        <v>1</v>
      </c>
      <c r="F242" t="s">
        <v>164</v>
      </c>
      <c r="G242">
        <v>94.34</v>
      </c>
      <c r="H242">
        <v>60</v>
      </c>
      <c r="I242">
        <v>121</v>
      </c>
      <c r="J242">
        <v>288</v>
      </c>
      <c r="K242">
        <v>167</v>
      </c>
    </row>
    <row r="243" spans="1:11" x14ac:dyDescent="0.3">
      <c r="A243">
        <v>10.61</v>
      </c>
      <c r="B243" t="s">
        <v>70</v>
      </c>
      <c r="C243" t="s">
        <v>393</v>
      </c>
      <c r="D243" t="s">
        <v>83</v>
      </c>
      <c r="E243">
        <v>1</v>
      </c>
      <c r="F243" t="s">
        <v>175</v>
      </c>
      <c r="G243">
        <v>20.74</v>
      </c>
      <c r="H243">
        <v>48</v>
      </c>
      <c r="I243">
        <v>79</v>
      </c>
      <c r="J243">
        <v>397</v>
      </c>
      <c r="K243">
        <v>318</v>
      </c>
    </row>
    <row r="244" spans="1:11" x14ac:dyDescent="0.3">
      <c r="A244">
        <v>31.35</v>
      </c>
      <c r="B244" t="s">
        <v>70</v>
      </c>
      <c r="C244" t="s">
        <v>394</v>
      </c>
      <c r="D244" t="s">
        <v>93</v>
      </c>
      <c r="E244">
        <v>1</v>
      </c>
      <c r="F244" t="s">
        <v>156</v>
      </c>
      <c r="G244">
        <v>51.74</v>
      </c>
      <c r="H244">
        <v>40</v>
      </c>
      <c r="I244">
        <v>105</v>
      </c>
      <c r="J244">
        <v>167</v>
      </c>
      <c r="K244">
        <v>62</v>
      </c>
    </row>
    <row r="245" spans="1:11" x14ac:dyDescent="0.3">
      <c r="A245">
        <v>21.14</v>
      </c>
      <c r="B245" t="s">
        <v>70</v>
      </c>
      <c r="C245" t="s">
        <v>395</v>
      </c>
      <c r="D245" t="s">
        <v>87</v>
      </c>
      <c r="E245">
        <v>1</v>
      </c>
      <c r="F245" t="s">
        <v>147</v>
      </c>
      <c r="G245">
        <v>37.26</v>
      </c>
      <c r="H245">
        <v>8</v>
      </c>
      <c r="I245">
        <v>10</v>
      </c>
      <c r="J245">
        <v>41</v>
      </c>
      <c r="K245">
        <v>31</v>
      </c>
    </row>
    <row r="246" spans="1:11" x14ac:dyDescent="0.3">
      <c r="A246">
        <v>26.12</v>
      </c>
      <c r="B246" t="s">
        <v>70</v>
      </c>
      <c r="C246" t="s">
        <v>396</v>
      </c>
      <c r="D246" t="s">
        <v>130</v>
      </c>
      <c r="E246">
        <v>1</v>
      </c>
      <c r="F246" t="s">
        <v>192</v>
      </c>
      <c r="G246">
        <v>52.38</v>
      </c>
      <c r="H246">
        <v>53</v>
      </c>
      <c r="I246">
        <v>249</v>
      </c>
      <c r="J246">
        <v>488</v>
      </c>
      <c r="K246">
        <v>239</v>
      </c>
    </row>
    <row r="247" spans="1:11" x14ac:dyDescent="0.3">
      <c r="A247">
        <v>26.41</v>
      </c>
      <c r="B247" t="s">
        <v>70</v>
      </c>
      <c r="C247" t="s">
        <v>397</v>
      </c>
      <c r="D247" t="s">
        <v>90</v>
      </c>
      <c r="E247">
        <v>1</v>
      </c>
      <c r="F247" t="s">
        <v>91</v>
      </c>
      <c r="G247">
        <v>41.24</v>
      </c>
      <c r="H247">
        <v>92</v>
      </c>
      <c r="I247">
        <v>306</v>
      </c>
      <c r="J247">
        <v>493</v>
      </c>
      <c r="K247">
        <v>187</v>
      </c>
    </row>
    <row r="248" spans="1:11" x14ac:dyDescent="0.3">
      <c r="A248">
        <v>8.6300000000000008</v>
      </c>
      <c r="B248" t="s">
        <v>70</v>
      </c>
      <c r="C248" t="s">
        <v>398</v>
      </c>
      <c r="D248" t="s">
        <v>77</v>
      </c>
      <c r="E248">
        <v>1</v>
      </c>
      <c r="F248" t="s">
        <v>116</v>
      </c>
      <c r="G248">
        <v>15.75</v>
      </c>
      <c r="H248">
        <v>58</v>
      </c>
      <c r="I248">
        <v>239</v>
      </c>
      <c r="J248">
        <v>314</v>
      </c>
      <c r="K248">
        <v>75</v>
      </c>
    </row>
    <row r="249" spans="1:11" x14ac:dyDescent="0.3">
      <c r="A249">
        <v>19.100000000000001</v>
      </c>
      <c r="B249" t="s">
        <v>70</v>
      </c>
      <c r="C249" t="s">
        <v>399</v>
      </c>
      <c r="D249" t="s">
        <v>93</v>
      </c>
      <c r="E249">
        <v>1</v>
      </c>
      <c r="F249" t="s">
        <v>108</v>
      </c>
      <c r="G249">
        <v>34.090000000000003</v>
      </c>
      <c r="H249">
        <v>31</v>
      </c>
      <c r="I249">
        <v>213</v>
      </c>
      <c r="J249">
        <v>279</v>
      </c>
      <c r="K249">
        <v>66</v>
      </c>
    </row>
    <row r="250" spans="1:11" x14ac:dyDescent="0.3">
      <c r="A250">
        <v>25.05</v>
      </c>
      <c r="B250" t="s">
        <v>70</v>
      </c>
      <c r="C250" t="s">
        <v>400</v>
      </c>
      <c r="D250" t="s">
        <v>93</v>
      </c>
      <c r="E250">
        <v>1</v>
      </c>
      <c r="F250" t="s">
        <v>108</v>
      </c>
      <c r="G250">
        <v>37.97</v>
      </c>
      <c r="H250">
        <v>49</v>
      </c>
      <c r="I250">
        <v>212</v>
      </c>
      <c r="J250">
        <v>374</v>
      </c>
      <c r="K250">
        <v>162</v>
      </c>
    </row>
    <row r="251" spans="1:11" x14ac:dyDescent="0.3">
      <c r="A251">
        <v>61.78</v>
      </c>
      <c r="B251" t="s">
        <v>70</v>
      </c>
      <c r="C251" t="s">
        <v>401</v>
      </c>
      <c r="D251" t="s">
        <v>90</v>
      </c>
      <c r="E251">
        <v>1</v>
      </c>
      <c r="F251" t="s">
        <v>149</v>
      </c>
      <c r="G251">
        <v>123.61</v>
      </c>
      <c r="H251">
        <v>49</v>
      </c>
      <c r="I251">
        <v>279</v>
      </c>
      <c r="J251">
        <v>321</v>
      </c>
      <c r="K251">
        <v>42</v>
      </c>
    </row>
    <row r="252" spans="1:11" x14ac:dyDescent="0.3">
      <c r="A252">
        <v>9.98</v>
      </c>
      <c r="B252" t="s">
        <v>70</v>
      </c>
      <c r="C252" t="s">
        <v>402</v>
      </c>
      <c r="D252" t="s">
        <v>80</v>
      </c>
      <c r="E252">
        <v>1</v>
      </c>
      <c r="F252" t="s">
        <v>104</v>
      </c>
      <c r="G252">
        <v>21.59</v>
      </c>
      <c r="H252">
        <v>38</v>
      </c>
      <c r="I252">
        <v>90</v>
      </c>
      <c r="J252">
        <v>185</v>
      </c>
      <c r="K252">
        <v>95</v>
      </c>
    </row>
    <row r="253" spans="1:11" x14ac:dyDescent="0.3">
      <c r="A253">
        <v>5.0199999999999996</v>
      </c>
      <c r="B253" t="s">
        <v>70</v>
      </c>
      <c r="C253" t="s">
        <v>403</v>
      </c>
      <c r="D253" t="s">
        <v>87</v>
      </c>
      <c r="E253">
        <v>1</v>
      </c>
      <c r="F253" t="s">
        <v>269</v>
      </c>
      <c r="G253">
        <v>10.4</v>
      </c>
      <c r="H253">
        <v>36</v>
      </c>
      <c r="I253">
        <v>133</v>
      </c>
      <c r="J253">
        <v>214</v>
      </c>
      <c r="K253">
        <v>81</v>
      </c>
    </row>
    <row r="254" spans="1:11" x14ac:dyDescent="0.3">
      <c r="A254">
        <v>11.98</v>
      </c>
      <c r="B254" t="s">
        <v>70</v>
      </c>
      <c r="C254" t="s">
        <v>404</v>
      </c>
      <c r="D254" t="s">
        <v>130</v>
      </c>
      <c r="E254">
        <v>1</v>
      </c>
      <c r="F254" t="s">
        <v>228</v>
      </c>
      <c r="G254">
        <v>25.36</v>
      </c>
      <c r="H254">
        <v>60</v>
      </c>
      <c r="I254">
        <v>130</v>
      </c>
      <c r="J254">
        <v>277</v>
      </c>
      <c r="K254">
        <v>147</v>
      </c>
    </row>
    <row r="255" spans="1:11" x14ac:dyDescent="0.3">
      <c r="A255">
        <v>7.88</v>
      </c>
      <c r="B255" t="s">
        <v>70</v>
      </c>
      <c r="C255" t="s">
        <v>405</v>
      </c>
      <c r="D255" t="s">
        <v>83</v>
      </c>
      <c r="E255">
        <v>1</v>
      </c>
      <c r="F255" t="s">
        <v>332</v>
      </c>
      <c r="G255">
        <v>11.72</v>
      </c>
      <c r="H255">
        <v>65</v>
      </c>
      <c r="I255">
        <v>302</v>
      </c>
      <c r="J255">
        <v>366</v>
      </c>
      <c r="K255">
        <v>64</v>
      </c>
    </row>
    <row r="256" spans="1:11" x14ac:dyDescent="0.3">
      <c r="A256">
        <v>4.8600000000000003</v>
      </c>
      <c r="B256" t="s">
        <v>70</v>
      </c>
      <c r="C256" t="s">
        <v>406</v>
      </c>
      <c r="D256" t="s">
        <v>93</v>
      </c>
      <c r="E256">
        <v>1</v>
      </c>
      <c r="F256" t="s">
        <v>252</v>
      </c>
      <c r="G256">
        <v>6.41</v>
      </c>
      <c r="H256">
        <v>25</v>
      </c>
      <c r="I256">
        <v>177</v>
      </c>
      <c r="J256">
        <v>238</v>
      </c>
      <c r="K256">
        <v>61</v>
      </c>
    </row>
    <row r="257" spans="1:11" x14ac:dyDescent="0.3">
      <c r="A257">
        <v>12.34</v>
      </c>
      <c r="B257" t="s">
        <v>70</v>
      </c>
      <c r="C257" t="s">
        <v>407</v>
      </c>
      <c r="D257" t="s">
        <v>72</v>
      </c>
      <c r="E257">
        <v>1</v>
      </c>
      <c r="F257" t="s">
        <v>75</v>
      </c>
      <c r="G257">
        <v>21.67</v>
      </c>
      <c r="H257">
        <v>8</v>
      </c>
      <c r="I257">
        <v>48</v>
      </c>
      <c r="J257">
        <v>71</v>
      </c>
      <c r="K257">
        <v>23</v>
      </c>
    </row>
    <row r="258" spans="1:11" x14ac:dyDescent="0.3">
      <c r="A258">
        <v>24.23</v>
      </c>
      <c r="B258" t="s">
        <v>70</v>
      </c>
      <c r="C258" t="s">
        <v>408</v>
      </c>
      <c r="D258" t="s">
        <v>130</v>
      </c>
      <c r="E258">
        <v>1</v>
      </c>
      <c r="F258" t="s">
        <v>299</v>
      </c>
      <c r="G258">
        <v>35.04</v>
      </c>
      <c r="H258">
        <v>51</v>
      </c>
      <c r="I258">
        <v>216</v>
      </c>
      <c r="J258">
        <v>241</v>
      </c>
      <c r="K258">
        <v>25</v>
      </c>
    </row>
    <row r="259" spans="1:11" x14ac:dyDescent="0.3">
      <c r="A259">
        <v>9.31</v>
      </c>
      <c r="B259" t="s">
        <v>70</v>
      </c>
      <c r="C259" t="s">
        <v>409</v>
      </c>
      <c r="D259" t="s">
        <v>72</v>
      </c>
      <c r="E259">
        <v>1</v>
      </c>
      <c r="F259" t="s">
        <v>75</v>
      </c>
      <c r="G259">
        <v>12.53</v>
      </c>
      <c r="H259">
        <v>52</v>
      </c>
      <c r="I259">
        <v>135</v>
      </c>
      <c r="J259">
        <v>428</v>
      </c>
      <c r="K259">
        <v>293</v>
      </c>
    </row>
    <row r="260" spans="1:11" x14ac:dyDescent="0.3">
      <c r="A260">
        <v>22.04</v>
      </c>
      <c r="B260" t="s">
        <v>70</v>
      </c>
      <c r="C260" t="s">
        <v>410</v>
      </c>
      <c r="D260" t="s">
        <v>130</v>
      </c>
      <c r="E260">
        <v>1</v>
      </c>
      <c r="F260" t="s">
        <v>192</v>
      </c>
      <c r="G260">
        <v>46.64</v>
      </c>
      <c r="H260">
        <v>17</v>
      </c>
      <c r="I260">
        <v>68</v>
      </c>
      <c r="J260">
        <v>135</v>
      </c>
      <c r="K260">
        <v>67</v>
      </c>
    </row>
    <row r="261" spans="1:11" x14ac:dyDescent="0.3">
      <c r="A261">
        <v>19.809999999999999</v>
      </c>
      <c r="B261" t="s">
        <v>70</v>
      </c>
      <c r="C261" t="s">
        <v>411</v>
      </c>
      <c r="D261" t="s">
        <v>72</v>
      </c>
      <c r="E261">
        <v>1</v>
      </c>
      <c r="F261" t="s">
        <v>239</v>
      </c>
      <c r="G261">
        <v>36.130000000000003</v>
      </c>
      <c r="H261">
        <v>84</v>
      </c>
      <c r="I261">
        <v>119</v>
      </c>
      <c r="J261">
        <v>356</v>
      </c>
      <c r="K261">
        <v>237</v>
      </c>
    </row>
    <row r="262" spans="1:11" x14ac:dyDescent="0.3">
      <c r="A262">
        <v>23.36</v>
      </c>
      <c r="B262" t="s">
        <v>70</v>
      </c>
      <c r="C262" t="s">
        <v>412</v>
      </c>
      <c r="D262" t="s">
        <v>130</v>
      </c>
      <c r="E262">
        <v>1</v>
      </c>
      <c r="F262" t="s">
        <v>290</v>
      </c>
      <c r="G262">
        <v>31.68</v>
      </c>
      <c r="H262">
        <v>19</v>
      </c>
      <c r="I262">
        <v>62</v>
      </c>
      <c r="J262">
        <v>89</v>
      </c>
      <c r="K262">
        <v>27</v>
      </c>
    </row>
    <row r="263" spans="1:11" x14ac:dyDescent="0.3">
      <c r="A263">
        <v>9.81</v>
      </c>
      <c r="B263" t="s">
        <v>70</v>
      </c>
      <c r="C263" t="s">
        <v>413</v>
      </c>
      <c r="D263" t="s">
        <v>93</v>
      </c>
      <c r="E263">
        <v>1</v>
      </c>
      <c r="F263" t="s">
        <v>414</v>
      </c>
      <c r="G263">
        <v>13.58</v>
      </c>
      <c r="H263">
        <v>40</v>
      </c>
      <c r="I263">
        <v>112</v>
      </c>
      <c r="J263">
        <v>185</v>
      </c>
      <c r="K263">
        <v>73</v>
      </c>
    </row>
    <row r="264" spans="1:11" x14ac:dyDescent="0.3">
      <c r="A264">
        <v>19.309999999999999</v>
      </c>
      <c r="B264" t="s">
        <v>70</v>
      </c>
      <c r="C264" t="s">
        <v>415</v>
      </c>
      <c r="D264" t="s">
        <v>93</v>
      </c>
      <c r="E264">
        <v>1</v>
      </c>
      <c r="F264" t="s">
        <v>94</v>
      </c>
      <c r="G264">
        <v>40.04</v>
      </c>
      <c r="H264">
        <v>32</v>
      </c>
      <c r="I264">
        <v>95</v>
      </c>
      <c r="J264">
        <v>185</v>
      </c>
      <c r="K264">
        <v>90</v>
      </c>
    </row>
    <row r="265" spans="1:11" x14ac:dyDescent="0.3">
      <c r="A265">
        <v>18.22</v>
      </c>
      <c r="B265" t="s">
        <v>70</v>
      </c>
      <c r="C265" t="s">
        <v>416</v>
      </c>
      <c r="D265" t="s">
        <v>93</v>
      </c>
      <c r="E265">
        <v>1</v>
      </c>
      <c r="F265" t="s">
        <v>414</v>
      </c>
      <c r="G265">
        <v>32.07</v>
      </c>
      <c r="H265">
        <v>34</v>
      </c>
      <c r="I265">
        <v>175</v>
      </c>
      <c r="J265">
        <v>229</v>
      </c>
      <c r="K265">
        <v>54</v>
      </c>
    </row>
    <row r="266" spans="1:11" x14ac:dyDescent="0.3">
      <c r="A266">
        <v>14.44</v>
      </c>
      <c r="B266" t="s">
        <v>70</v>
      </c>
      <c r="C266" t="s">
        <v>417</v>
      </c>
      <c r="D266" t="s">
        <v>83</v>
      </c>
      <c r="E266">
        <v>1</v>
      </c>
      <c r="F266" t="s">
        <v>210</v>
      </c>
      <c r="G266">
        <v>26.13</v>
      </c>
      <c r="H266">
        <v>18</v>
      </c>
      <c r="I266">
        <v>22</v>
      </c>
      <c r="J266">
        <v>103</v>
      </c>
      <c r="K266">
        <v>81</v>
      </c>
    </row>
    <row r="267" spans="1:11" x14ac:dyDescent="0.3">
      <c r="A267">
        <v>22.05</v>
      </c>
      <c r="B267" t="s">
        <v>70</v>
      </c>
      <c r="C267" t="s">
        <v>418</v>
      </c>
      <c r="D267" t="s">
        <v>130</v>
      </c>
      <c r="E267">
        <v>1</v>
      </c>
      <c r="F267" t="s">
        <v>290</v>
      </c>
      <c r="G267">
        <v>47.79</v>
      </c>
      <c r="H267">
        <v>56</v>
      </c>
      <c r="I267">
        <v>124</v>
      </c>
      <c r="J267">
        <v>248</v>
      </c>
      <c r="K267">
        <v>124</v>
      </c>
    </row>
    <row r="268" spans="1:11" x14ac:dyDescent="0.3">
      <c r="A268">
        <v>4.68</v>
      </c>
      <c r="B268" t="s">
        <v>70</v>
      </c>
      <c r="C268" t="s">
        <v>419</v>
      </c>
      <c r="D268" t="s">
        <v>83</v>
      </c>
      <c r="E268">
        <v>1</v>
      </c>
      <c r="F268" t="s">
        <v>100</v>
      </c>
      <c r="G268">
        <v>10.25</v>
      </c>
      <c r="H268">
        <v>24</v>
      </c>
      <c r="I268">
        <v>186</v>
      </c>
      <c r="J268">
        <v>223</v>
      </c>
      <c r="K268">
        <v>37</v>
      </c>
    </row>
    <row r="269" spans="1:11" x14ac:dyDescent="0.3">
      <c r="A269">
        <v>4.0599999999999996</v>
      </c>
      <c r="B269" t="s">
        <v>70</v>
      </c>
      <c r="C269" t="s">
        <v>420</v>
      </c>
      <c r="D269" t="s">
        <v>80</v>
      </c>
      <c r="E269">
        <v>1</v>
      </c>
      <c r="F269" t="s">
        <v>356</v>
      </c>
      <c r="G269">
        <v>5.53</v>
      </c>
      <c r="H269">
        <v>3</v>
      </c>
      <c r="I269">
        <v>6</v>
      </c>
      <c r="J269">
        <v>28</v>
      </c>
      <c r="K269">
        <v>22</v>
      </c>
    </row>
    <row r="270" spans="1:11" x14ac:dyDescent="0.3">
      <c r="A270">
        <v>10.3</v>
      </c>
      <c r="B270" t="s">
        <v>70</v>
      </c>
      <c r="C270" t="s">
        <v>421</v>
      </c>
      <c r="D270" t="s">
        <v>80</v>
      </c>
      <c r="E270">
        <v>1</v>
      </c>
      <c r="F270" t="s">
        <v>186</v>
      </c>
      <c r="G270">
        <v>18.32</v>
      </c>
      <c r="H270">
        <v>69</v>
      </c>
      <c r="I270">
        <v>409</v>
      </c>
      <c r="J270">
        <v>481</v>
      </c>
      <c r="K270">
        <v>72</v>
      </c>
    </row>
    <row r="271" spans="1:11" x14ac:dyDescent="0.3">
      <c r="A271">
        <v>17.829999999999998</v>
      </c>
      <c r="B271" t="s">
        <v>70</v>
      </c>
      <c r="C271" t="s">
        <v>422</v>
      </c>
      <c r="D271" t="s">
        <v>72</v>
      </c>
      <c r="E271">
        <v>1</v>
      </c>
      <c r="F271" t="s">
        <v>265</v>
      </c>
      <c r="G271">
        <v>35.590000000000003</v>
      </c>
      <c r="H271">
        <v>46</v>
      </c>
      <c r="I271">
        <v>124</v>
      </c>
      <c r="J271">
        <v>293</v>
      </c>
      <c r="K271">
        <v>169</v>
      </c>
    </row>
    <row r="272" spans="1:11" x14ac:dyDescent="0.3">
      <c r="A272">
        <v>23.68</v>
      </c>
      <c r="B272" t="s">
        <v>70</v>
      </c>
      <c r="C272" t="s">
        <v>423</v>
      </c>
      <c r="D272" t="s">
        <v>93</v>
      </c>
      <c r="E272">
        <v>1</v>
      </c>
      <c r="F272" t="s">
        <v>424</v>
      </c>
      <c r="G272">
        <v>46.94</v>
      </c>
      <c r="H272">
        <v>21</v>
      </c>
      <c r="I272">
        <v>59</v>
      </c>
      <c r="J272">
        <v>143</v>
      </c>
      <c r="K272">
        <v>84</v>
      </c>
    </row>
    <row r="273" spans="1:11" x14ac:dyDescent="0.3">
      <c r="A273">
        <v>2.9</v>
      </c>
      <c r="B273" t="s">
        <v>70</v>
      </c>
      <c r="C273" t="s">
        <v>425</v>
      </c>
      <c r="D273" t="s">
        <v>130</v>
      </c>
      <c r="E273">
        <v>1</v>
      </c>
      <c r="F273" t="s">
        <v>173</v>
      </c>
      <c r="G273">
        <v>4.55</v>
      </c>
      <c r="H273">
        <v>65</v>
      </c>
      <c r="I273">
        <v>343</v>
      </c>
      <c r="J273">
        <v>392</v>
      </c>
      <c r="K273">
        <v>49</v>
      </c>
    </row>
    <row r="274" spans="1:11" x14ac:dyDescent="0.3">
      <c r="A274">
        <v>16.68</v>
      </c>
      <c r="B274" t="s">
        <v>70</v>
      </c>
      <c r="C274" t="s">
        <v>426</v>
      </c>
      <c r="D274" t="s">
        <v>80</v>
      </c>
      <c r="E274">
        <v>1</v>
      </c>
      <c r="F274" t="s">
        <v>160</v>
      </c>
      <c r="G274">
        <v>35.89</v>
      </c>
      <c r="H274">
        <v>39</v>
      </c>
      <c r="I274">
        <v>115</v>
      </c>
      <c r="J274">
        <v>323</v>
      </c>
      <c r="K274">
        <v>208</v>
      </c>
    </row>
    <row r="275" spans="1:11" x14ac:dyDescent="0.3">
      <c r="A275">
        <v>10.45</v>
      </c>
      <c r="B275" t="s">
        <v>70</v>
      </c>
      <c r="C275" t="s">
        <v>427</v>
      </c>
      <c r="D275" t="s">
        <v>72</v>
      </c>
      <c r="E275">
        <v>1</v>
      </c>
      <c r="F275" t="s">
        <v>239</v>
      </c>
      <c r="G275">
        <v>18.170000000000002</v>
      </c>
      <c r="H275">
        <v>53</v>
      </c>
      <c r="I275">
        <v>247</v>
      </c>
      <c r="J275">
        <v>472</v>
      </c>
      <c r="K275">
        <v>225</v>
      </c>
    </row>
    <row r="276" spans="1:11" x14ac:dyDescent="0.3">
      <c r="A276">
        <v>27.93</v>
      </c>
      <c r="B276" t="s">
        <v>70</v>
      </c>
      <c r="C276" t="s">
        <v>428</v>
      </c>
      <c r="D276" t="s">
        <v>130</v>
      </c>
      <c r="E276">
        <v>1</v>
      </c>
      <c r="F276" t="s">
        <v>143</v>
      </c>
      <c r="G276">
        <v>54.07</v>
      </c>
      <c r="H276">
        <v>31</v>
      </c>
      <c r="I276">
        <v>33</v>
      </c>
      <c r="J276">
        <v>181</v>
      </c>
      <c r="K276">
        <v>148</v>
      </c>
    </row>
    <row r="277" spans="1:11" x14ac:dyDescent="0.3">
      <c r="A277">
        <v>23.24</v>
      </c>
      <c r="B277" t="s">
        <v>70</v>
      </c>
      <c r="C277" t="s">
        <v>429</v>
      </c>
      <c r="D277" t="s">
        <v>72</v>
      </c>
      <c r="E277">
        <v>1</v>
      </c>
      <c r="F277" t="s">
        <v>102</v>
      </c>
      <c r="G277">
        <v>34.14</v>
      </c>
      <c r="H277">
        <v>77</v>
      </c>
      <c r="I277">
        <v>127</v>
      </c>
      <c r="J277">
        <v>361</v>
      </c>
      <c r="K277">
        <v>234</v>
      </c>
    </row>
    <row r="278" spans="1:11" x14ac:dyDescent="0.3">
      <c r="A278">
        <v>16.68</v>
      </c>
      <c r="B278" t="s">
        <v>70</v>
      </c>
      <c r="C278" t="s">
        <v>430</v>
      </c>
      <c r="D278" t="s">
        <v>72</v>
      </c>
      <c r="E278">
        <v>1</v>
      </c>
      <c r="F278" t="s">
        <v>239</v>
      </c>
      <c r="G278">
        <v>30.78</v>
      </c>
      <c r="H278">
        <v>84</v>
      </c>
      <c r="I278">
        <v>202</v>
      </c>
      <c r="J278">
        <v>454</v>
      </c>
      <c r="K278">
        <v>252</v>
      </c>
    </row>
    <row r="279" spans="1:11" x14ac:dyDescent="0.3">
      <c r="A279">
        <v>14.88</v>
      </c>
      <c r="B279" t="s">
        <v>70</v>
      </c>
      <c r="C279" t="s">
        <v>431</v>
      </c>
      <c r="D279" t="s">
        <v>72</v>
      </c>
      <c r="E279">
        <v>1</v>
      </c>
      <c r="F279" t="s">
        <v>239</v>
      </c>
      <c r="G279">
        <v>27.54</v>
      </c>
      <c r="H279">
        <v>70</v>
      </c>
      <c r="I279">
        <v>188</v>
      </c>
      <c r="J279">
        <v>290</v>
      </c>
      <c r="K279">
        <v>102</v>
      </c>
    </row>
    <row r="280" spans="1:11" x14ac:dyDescent="0.3">
      <c r="A280">
        <v>3.85</v>
      </c>
      <c r="B280" t="s">
        <v>70</v>
      </c>
      <c r="C280" t="s">
        <v>432</v>
      </c>
      <c r="D280" t="s">
        <v>77</v>
      </c>
      <c r="E280">
        <v>1</v>
      </c>
      <c r="F280" t="s">
        <v>140</v>
      </c>
      <c r="G280">
        <v>7.34</v>
      </c>
      <c r="H280">
        <v>92</v>
      </c>
      <c r="I280">
        <v>391</v>
      </c>
      <c r="J280">
        <v>445</v>
      </c>
      <c r="K280">
        <v>54</v>
      </c>
    </row>
    <row r="281" spans="1:11" x14ac:dyDescent="0.3">
      <c r="A281">
        <v>5.43</v>
      </c>
      <c r="B281" t="s">
        <v>70</v>
      </c>
      <c r="C281" t="s">
        <v>433</v>
      </c>
      <c r="D281" t="s">
        <v>93</v>
      </c>
      <c r="E281">
        <v>1</v>
      </c>
      <c r="F281" t="s">
        <v>424</v>
      </c>
      <c r="G281">
        <v>8.1300000000000008</v>
      </c>
      <c r="H281">
        <v>78</v>
      </c>
      <c r="I281">
        <v>191</v>
      </c>
      <c r="J281">
        <v>387</v>
      </c>
      <c r="K281">
        <v>196</v>
      </c>
    </row>
    <row r="282" spans="1:11" x14ac:dyDescent="0.3">
      <c r="A282">
        <v>23</v>
      </c>
      <c r="B282" t="s">
        <v>70</v>
      </c>
      <c r="C282" t="s">
        <v>434</v>
      </c>
      <c r="D282" t="s">
        <v>87</v>
      </c>
      <c r="E282">
        <v>1</v>
      </c>
      <c r="F282" t="s">
        <v>138</v>
      </c>
      <c r="G282">
        <v>36.14</v>
      </c>
      <c r="H282">
        <v>26</v>
      </c>
      <c r="I282">
        <v>212</v>
      </c>
      <c r="J282">
        <v>265</v>
      </c>
      <c r="K282">
        <v>53</v>
      </c>
    </row>
    <row r="283" spans="1:11" x14ac:dyDescent="0.3">
      <c r="A283">
        <v>11.43</v>
      </c>
      <c r="B283" t="s">
        <v>70</v>
      </c>
      <c r="C283" t="s">
        <v>435</v>
      </c>
      <c r="D283" t="s">
        <v>72</v>
      </c>
      <c r="E283">
        <v>1</v>
      </c>
      <c r="F283" t="s">
        <v>73</v>
      </c>
      <c r="G283">
        <v>21.94</v>
      </c>
      <c r="H283">
        <v>75</v>
      </c>
      <c r="I283">
        <v>237</v>
      </c>
      <c r="J283">
        <v>418</v>
      </c>
      <c r="K283">
        <v>181</v>
      </c>
    </row>
    <row r="284" spans="1:11" x14ac:dyDescent="0.3">
      <c r="A284">
        <v>1.03</v>
      </c>
      <c r="B284" t="s">
        <v>70</v>
      </c>
      <c r="C284" t="s">
        <v>436</v>
      </c>
      <c r="D284" t="s">
        <v>80</v>
      </c>
      <c r="E284">
        <v>1</v>
      </c>
      <c r="F284" t="s">
        <v>233</v>
      </c>
      <c r="G284">
        <v>1.58</v>
      </c>
      <c r="H284">
        <v>61</v>
      </c>
      <c r="I284">
        <v>94</v>
      </c>
      <c r="J284">
        <v>273</v>
      </c>
      <c r="K284">
        <v>179</v>
      </c>
    </row>
    <row r="285" spans="1:11" x14ac:dyDescent="0.3">
      <c r="A285">
        <v>19.350000000000001</v>
      </c>
      <c r="B285" t="s">
        <v>70</v>
      </c>
      <c r="C285" t="s">
        <v>437</v>
      </c>
      <c r="D285" t="s">
        <v>130</v>
      </c>
      <c r="E285">
        <v>1</v>
      </c>
      <c r="F285" t="s">
        <v>214</v>
      </c>
      <c r="G285">
        <v>41.71</v>
      </c>
      <c r="H285">
        <v>41</v>
      </c>
      <c r="I285">
        <v>114</v>
      </c>
      <c r="J285">
        <v>299</v>
      </c>
      <c r="K285">
        <v>185</v>
      </c>
    </row>
    <row r="286" spans="1:11" x14ac:dyDescent="0.3">
      <c r="A286">
        <v>10.74</v>
      </c>
      <c r="B286" t="s">
        <v>70</v>
      </c>
      <c r="C286" t="s">
        <v>438</v>
      </c>
      <c r="D286" t="s">
        <v>87</v>
      </c>
      <c r="E286">
        <v>1</v>
      </c>
      <c r="F286" t="s">
        <v>269</v>
      </c>
      <c r="G286">
        <v>14.08</v>
      </c>
      <c r="H286">
        <v>58</v>
      </c>
      <c r="I286">
        <v>185</v>
      </c>
      <c r="J286">
        <v>391</v>
      </c>
      <c r="K286">
        <v>206</v>
      </c>
    </row>
    <row r="287" spans="1:11" x14ac:dyDescent="0.3">
      <c r="A287">
        <v>2.88</v>
      </c>
      <c r="B287" t="s">
        <v>70</v>
      </c>
      <c r="C287" t="s">
        <v>439</v>
      </c>
      <c r="D287" t="s">
        <v>130</v>
      </c>
      <c r="E287">
        <v>1</v>
      </c>
      <c r="F287" t="s">
        <v>154</v>
      </c>
      <c r="G287">
        <v>4.8499999999999996</v>
      </c>
      <c r="H287">
        <v>6</v>
      </c>
      <c r="I287">
        <v>50</v>
      </c>
      <c r="J287">
        <v>63</v>
      </c>
      <c r="K287">
        <v>13</v>
      </c>
    </row>
    <row r="288" spans="1:11" x14ac:dyDescent="0.3">
      <c r="A288">
        <v>7.6</v>
      </c>
      <c r="B288" t="s">
        <v>70</v>
      </c>
      <c r="C288" t="s">
        <v>440</v>
      </c>
      <c r="D288" t="s">
        <v>90</v>
      </c>
      <c r="E288">
        <v>1</v>
      </c>
      <c r="F288" t="s">
        <v>177</v>
      </c>
      <c r="G288">
        <v>13.42</v>
      </c>
      <c r="H288">
        <v>97</v>
      </c>
      <c r="I288">
        <v>298</v>
      </c>
      <c r="J288">
        <v>436</v>
      </c>
      <c r="K288">
        <v>138</v>
      </c>
    </row>
    <row r="289" spans="1:11" x14ac:dyDescent="0.3">
      <c r="A289">
        <v>11.85</v>
      </c>
      <c r="B289" t="s">
        <v>70</v>
      </c>
      <c r="C289" t="s">
        <v>441</v>
      </c>
      <c r="D289" t="s">
        <v>130</v>
      </c>
      <c r="E289">
        <v>1</v>
      </c>
      <c r="F289" t="s">
        <v>290</v>
      </c>
      <c r="G289">
        <v>22.38</v>
      </c>
      <c r="H289">
        <v>41</v>
      </c>
      <c r="I289">
        <v>52</v>
      </c>
      <c r="J289">
        <v>226</v>
      </c>
      <c r="K289">
        <v>174</v>
      </c>
    </row>
    <row r="290" spans="1:11" x14ac:dyDescent="0.3">
      <c r="A290">
        <v>8.65</v>
      </c>
      <c r="B290" t="s">
        <v>70</v>
      </c>
      <c r="C290" t="s">
        <v>442</v>
      </c>
      <c r="D290" t="s">
        <v>130</v>
      </c>
      <c r="E290">
        <v>1</v>
      </c>
      <c r="F290" t="s">
        <v>154</v>
      </c>
      <c r="G290">
        <v>13.72</v>
      </c>
      <c r="H290">
        <v>59</v>
      </c>
      <c r="I290">
        <v>351</v>
      </c>
      <c r="J290">
        <v>463</v>
      </c>
      <c r="K290">
        <v>112</v>
      </c>
    </row>
    <row r="291" spans="1:11" x14ac:dyDescent="0.3">
      <c r="A291">
        <v>6.88</v>
      </c>
      <c r="B291" t="s">
        <v>70</v>
      </c>
      <c r="C291" t="s">
        <v>443</v>
      </c>
      <c r="D291" t="s">
        <v>72</v>
      </c>
      <c r="E291">
        <v>1</v>
      </c>
      <c r="F291" t="s">
        <v>239</v>
      </c>
      <c r="G291">
        <v>12.41</v>
      </c>
      <c r="H291">
        <v>90</v>
      </c>
      <c r="I291">
        <v>341</v>
      </c>
      <c r="J291">
        <v>471</v>
      </c>
      <c r="K291">
        <v>130</v>
      </c>
    </row>
    <row r="292" spans="1:11" x14ac:dyDescent="0.3">
      <c r="A292">
        <v>3.14</v>
      </c>
      <c r="B292" t="s">
        <v>70</v>
      </c>
      <c r="C292" t="s">
        <v>444</v>
      </c>
      <c r="D292" t="s">
        <v>130</v>
      </c>
      <c r="E292">
        <v>1</v>
      </c>
      <c r="F292" t="s">
        <v>131</v>
      </c>
      <c r="G292">
        <v>6.34</v>
      </c>
      <c r="H292">
        <v>57</v>
      </c>
      <c r="I292">
        <v>164</v>
      </c>
      <c r="J292">
        <v>247</v>
      </c>
      <c r="K292">
        <v>83</v>
      </c>
    </row>
    <row r="293" spans="1:11" x14ac:dyDescent="0.3">
      <c r="A293">
        <v>7.73</v>
      </c>
      <c r="B293" t="s">
        <v>70</v>
      </c>
      <c r="C293" t="s">
        <v>445</v>
      </c>
      <c r="D293" t="s">
        <v>77</v>
      </c>
      <c r="E293">
        <v>1</v>
      </c>
      <c r="F293" t="s">
        <v>446</v>
      </c>
      <c r="G293">
        <v>13.75</v>
      </c>
      <c r="H293">
        <v>6</v>
      </c>
      <c r="I293">
        <v>13</v>
      </c>
      <c r="J293">
        <v>55</v>
      </c>
      <c r="K293">
        <v>42</v>
      </c>
    </row>
    <row r="294" spans="1:11" x14ac:dyDescent="0.3">
      <c r="A294">
        <v>13.62</v>
      </c>
      <c r="B294" t="s">
        <v>70</v>
      </c>
      <c r="C294" t="s">
        <v>447</v>
      </c>
      <c r="D294" t="s">
        <v>80</v>
      </c>
      <c r="E294">
        <v>1</v>
      </c>
      <c r="F294" t="s">
        <v>233</v>
      </c>
      <c r="G294">
        <v>25.36</v>
      </c>
      <c r="H294">
        <v>17</v>
      </c>
      <c r="I294">
        <v>25</v>
      </c>
      <c r="J294">
        <v>92</v>
      </c>
      <c r="K294">
        <v>67</v>
      </c>
    </row>
    <row r="295" spans="1:11" x14ac:dyDescent="0.3">
      <c r="A295">
        <v>26.83</v>
      </c>
      <c r="B295" t="s">
        <v>70</v>
      </c>
      <c r="C295" t="s">
        <v>448</v>
      </c>
      <c r="D295" t="s">
        <v>130</v>
      </c>
      <c r="E295">
        <v>1</v>
      </c>
      <c r="F295" t="s">
        <v>214</v>
      </c>
      <c r="G295">
        <v>52.63</v>
      </c>
      <c r="H295">
        <v>36</v>
      </c>
      <c r="I295">
        <v>89</v>
      </c>
      <c r="J295">
        <v>358</v>
      </c>
      <c r="K295">
        <v>269</v>
      </c>
    </row>
    <row r="296" spans="1:11" x14ac:dyDescent="0.3">
      <c r="A296">
        <v>7.49</v>
      </c>
      <c r="B296" t="s">
        <v>70</v>
      </c>
      <c r="C296" t="s">
        <v>449</v>
      </c>
      <c r="D296" t="s">
        <v>87</v>
      </c>
      <c r="E296">
        <v>1</v>
      </c>
      <c r="F296" t="s">
        <v>138</v>
      </c>
      <c r="G296">
        <v>13.35</v>
      </c>
      <c r="H296">
        <v>103</v>
      </c>
      <c r="I296">
        <v>254</v>
      </c>
      <c r="J296">
        <v>491</v>
      </c>
      <c r="K296">
        <v>237</v>
      </c>
    </row>
    <row r="297" spans="1:11" x14ac:dyDescent="0.3">
      <c r="A297">
        <v>8.65</v>
      </c>
      <c r="B297" t="s">
        <v>70</v>
      </c>
      <c r="C297" t="s">
        <v>450</v>
      </c>
      <c r="D297" t="s">
        <v>83</v>
      </c>
      <c r="E297">
        <v>1</v>
      </c>
      <c r="F297" t="s">
        <v>307</v>
      </c>
      <c r="G297">
        <v>17.45</v>
      </c>
      <c r="H297">
        <v>92</v>
      </c>
      <c r="I297">
        <v>379</v>
      </c>
      <c r="J297">
        <v>467</v>
      </c>
      <c r="K297">
        <v>88</v>
      </c>
    </row>
    <row r="298" spans="1:11" x14ac:dyDescent="0.3">
      <c r="A298">
        <v>3.41</v>
      </c>
      <c r="B298" t="s">
        <v>70</v>
      </c>
      <c r="C298" t="s">
        <v>451</v>
      </c>
      <c r="D298" t="s">
        <v>77</v>
      </c>
      <c r="E298">
        <v>1</v>
      </c>
      <c r="F298" t="s">
        <v>349</v>
      </c>
      <c r="G298">
        <v>6.3</v>
      </c>
      <c r="H298">
        <v>7</v>
      </c>
      <c r="I298">
        <v>53</v>
      </c>
      <c r="J298">
        <v>62</v>
      </c>
      <c r="K298">
        <v>9</v>
      </c>
    </row>
    <row r="299" spans="1:11" x14ac:dyDescent="0.3">
      <c r="A299">
        <v>5.76</v>
      </c>
      <c r="B299" t="s">
        <v>70</v>
      </c>
      <c r="C299" t="s">
        <v>452</v>
      </c>
      <c r="D299" t="s">
        <v>83</v>
      </c>
      <c r="E299">
        <v>1</v>
      </c>
      <c r="F299" t="s">
        <v>120</v>
      </c>
      <c r="G299">
        <v>9.3800000000000008</v>
      </c>
      <c r="H299">
        <v>70</v>
      </c>
      <c r="I299">
        <v>196</v>
      </c>
      <c r="J299">
        <v>308</v>
      </c>
      <c r="K299">
        <v>112</v>
      </c>
    </row>
    <row r="300" spans="1:11" x14ac:dyDescent="0.3">
      <c r="A300">
        <v>2.2599999999999998</v>
      </c>
      <c r="B300" t="s">
        <v>70</v>
      </c>
      <c r="C300" t="s">
        <v>453</v>
      </c>
      <c r="D300" t="s">
        <v>80</v>
      </c>
      <c r="E300">
        <v>1</v>
      </c>
      <c r="F300" t="s">
        <v>186</v>
      </c>
      <c r="G300">
        <v>4.51</v>
      </c>
      <c r="H300">
        <v>84</v>
      </c>
      <c r="I300">
        <v>178</v>
      </c>
      <c r="J300">
        <v>439</v>
      </c>
      <c r="K300">
        <v>261</v>
      </c>
    </row>
    <row r="301" spans="1:11" x14ac:dyDescent="0.3">
      <c r="A301">
        <v>40.42</v>
      </c>
      <c r="B301" t="s">
        <v>70</v>
      </c>
      <c r="C301" t="s">
        <v>454</v>
      </c>
      <c r="D301" t="s">
        <v>90</v>
      </c>
      <c r="E301">
        <v>1</v>
      </c>
      <c r="F301" t="s">
        <v>149</v>
      </c>
      <c r="G301">
        <v>82.35</v>
      </c>
      <c r="H301">
        <v>10</v>
      </c>
      <c r="I301">
        <v>34</v>
      </c>
      <c r="J301">
        <v>51</v>
      </c>
      <c r="K301">
        <v>17</v>
      </c>
    </row>
    <row r="302" spans="1:11" x14ac:dyDescent="0.3">
      <c r="A302">
        <v>13.85</v>
      </c>
      <c r="B302" t="s">
        <v>70</v>
      </c>
      <c r="C302" t="s">
        <v>455</v>
      </c>
      <c r="D302" t="s">
        <v>90</v>
      </c>
      <c r="E302">
        <v>1</v>
      </c>
      <c r="F302" t="s">
        <v>189</v>
      </c>
      <c r="G302">
        <v>21.3</v>
      </c>
      <c r="H302">
        <v>21</v>
      </c>
      <c r="I302">
        <v>81</v>
      </c>
      <c r="J302">
        <v>147</v>
      </c>
      <c r="K302">
        <v>66</v>
      </c>
    </row>
    <row r="303" spans="1:11" x14ac:dyDescent="0.3">
      <c r="A303">
        <v>5.16</v>
      </c>
      <c r="B303" t="s">
        <v>70</v>
      </c>
      <c r="C303" t="s">
        <v>456</v>
      </c>
      <c r="D303" t="s">
        <v>87</v>
      </c>
      <c r="E303">
        <v>9</v>
      </c>
      <c r="F303" t="s">
        <v>147</v>
      </c>
      <c r="G303">
        <v>9.85</v>
      </c>
      <c r="H303">
        <v>88</v>
      </c>
      <c r="I303">
        <v>193</v>
      </c>
      <c r="J303">
        <v>452</v>
      </c>
      <c r="K303">
        <v>259</v>
      </c>
    </row>
    <row r="304" spans="1:11" x14ac:dyDescent="0.3">
      <c r="A304">
        <v>1.98</v>
      </c>
      <c r="B304" t="s">
        <v>70</v>
      </c>
      <c r="C304" t="s">
        <v>457</v>
      </c>
      <c r="D304" t="s">
        <v>77</v>
      </c>
      <c r="E304">
        <v>9</v>
      </c>
      <c r="F304" t="s">
        <v>116</v>
      </c>
      <c r="G304">
        <v>3.78</v>
      </c>
      <c r="H304">
        <v>4</v>
      </c>
      <c r="I304">
        <v>17</v>
      </c>
      <c r="J304">
        <v>42</v>
      </c>
      <c r="K304">
        <v>25</v>
      </c>
    </row>
    <row r="305" spans="1:11" x14ac:dyDescent="0.3">
      <c r="A305">
        <v>5.56</v>
      </c>
      <c r="B305" t="s">
        <v>70</v>
      </c>
      <c r="C305" t="s">
        <v>458</v>
      </c>
      <c r="D305" t="s">
        <v>77</v>
      </c>
      <c r="E305">
        <v>9</v>
      </c>
      <c r="F305" t="s">
        <v>140</v>
      </c>
      <c r="G305">
        <v>7.44</v>
      </c>
      <c r="H305">
        <v>20</v>
      </c>
      <c r="I305">
        <v>50</v>
      </c>
      <c r="J305">
        <v>144</v>
      </c>
      <c r="K305">
        <v>94</v>
      </c>
    </row>
    <row r="306" spans="1:11" x14ac:dyDescent="0.3">
      <c r="A306">
        <v>74.16</v>
      </c>
      <c r="B306" t="s">
        <v>70</v>
      </c>
      <c r="C306" t="s">
        <v>459</v>
      </c>
      <c r="D306" t="s">
        <v>90</v>
      </c>
      <c r="E306">
        <v>9</v>
      </c>
      <c r="F306" t="s">
        <v>164</v>
      </c>
      <c r="G306">
        <v>100.42</v>
      </c>
      <c r="H306">
        <v>48</v>
      </c>
      <c r="I306">
        <v>219</v>
      </c>
      <c r="J306">
        <v>294</v>
      </c>
      <c r="K306">
        <v>75</v>
      </c>
    </row>
    <row r="307" spans="1:11" x14ac:dyDescent="0.3">
      <c r="A307">
        <v>24.31</v>
      </c>
      <c r="B307" t="s">
        <v>70</v>
      </c>
      <c r="C307" t="s">
        <v>460</v>
      </c>
      <c r="D307" t="s">
        <v>93</v>
      </c>
      <c r="E307">
        <v>9</v>
      </c>
      <c r="F307" t="s">
        <v>156</v>
      </c>
      <c r="G307">
        <v>41.12</v>
      </c>
      <c r="H307">
        <v>21</v>
      </c>
      <c r="I307">
        <v>96</v>
      </c>
      <c r="J307">
        <v>155</v>
      </c>
      <c r="K307">
        <v>59</v>
      </c>
    </row>
    <row r="308" spans="1:11" x14ac:dyDescent="0.3">
      <c r="A308">
        <v>13.56</v>
      </c>
      <c r="B308" t="s">
        <v>70</v>
      </c>
      <c r="C308" t="s">
        <v>461</v>
      </c>
      <c r="D308" t="s">
        <v>93</v>
      </c>
      <c r="E308">
        <v>9</v>
      </c>
      <c r="F308" t="s">
        <v>166</v>
      </c>
      <c r="G308">
        <v>23.12</v>
      </c>
      <c r="H308">
        <v>3</v>
      </c>
      <c r="I308">
        <v>8</v>
      </c>
      <c r="J308">
        <v>25</v>
      </c>
      <c r="K308">
        <v>17</v>
      </c>
    </row>
    <row r="309" spans="1:11" x14ac:dyDescent="0.3">
      <c r="A309">
        <v>7.58</v>
      </c>
      <c r="B309" t="s">
        <v>70</v>
      </c>
      <c r="C309" t="s">
        <v>462</v>
      </c>
      <c r="D309" t="s">
        <v>72</v>
      </c>
      <c r="E309">
        <v>9</v>
      </c>
      <c r="F309" t="s">
        <v>463</v>
      </c>
      <c r="G309">
        <v>11.72</v>
      </c>
      <c r="H309">
        <v>80</v>
      </c>
      <c r="I309">
        <v>246</v>
      </c>
      <c r="J309">
        <v>423</v>
      </c>
      <c r="K309">
        <v>177</v>
      </c>
    </row>
    <row r="310" spans="1:11" x14ac:dyDescent="0.3">
      <c r="A310">
        <v>18.64</v>
      </c>
      <c r="B310" t="s">
        <v>70</v>
      </c>
      <c r="C310" t="s">
        <v>464</v>
      </c>
      <c r="D310" t="s">
        <v>87</v>
      </c>
      <c r="E310">
        <v>9</v>
      </c>
      <c r="F310" t="s">
        <v>237</v>
      </c>
      <c r="G310">
        <v>25.42</v>
      </c>
      <c r="H310">
        <v>37</v>
      </c>
      <c r="I310">
        <v>130</v>
      </c>
      <c r="J310">
        <v>362</v>
      </c>
      <c r="K310">
        <v>232</v>
      </c>
    </row>
    <row r="311" spans="1:11" x14ac:dyDescent="0.3">
      <c r="A311">
        <v>18.48</v>
      </c>
      <c r="B311" t="s">
        <v>70</v>
      </c>
      <c r="C311" t="s">
        <v>465</v>
      </c>
      <c r="D311" t="s">
        <v>72</v>
      </c>
      <c r="E311">
        <v>9</v>
      </c>
      <c r="F311" t="s">
        <v>463</v>
      </c>
      <c r="G311">
        <v>36.700000000000003</v>
      </c>
      <c r="H311">
        <v>41</v>
      </c>
      <c r="I311">
        <v>224</v>
      </c>
      <c r="J311">
        <v>320</v>
      </c>
      <c r="K311">
        <v>96</v>
      </c>
    </row>
    <row r="312" spans="1:11" x14ac:dyDescent="0.3">
      <c r="A312">
        <v>6.67</v>
      </c>
      <c r="B312" t="s">
        <v>70</v>
      </c>
      <c r="C312" t="s">
        <v>466</v>
      </c>
      <c r="D312" t="s">
        <v>87</v>
      </c>
      <c r="E312">
        <v>9</v>
      </c>
      <c r="F312" t="s">
        <v>337</v>
      </c>
      <c r="G312">
        <v>14.55</v>
      </c>
      <c r="H312">
        <v>16</v>
      </c>
      <c r="I312">
        <v>25</v>
      </c>
      <c r="J312">
        <v>100</v>
      </c>
      <c r="K312">
        <v>75</v>
      </c>
    </row>
    <row r="313" spans="1:11" x14ac:dyDescent="0.3">
      <c r="A313">
        <v>36.25</v>
      </c>
      <c r="B313" t="s">
        <v>70</v>
      </c>
      <c r="C313" t="s">
        <v>467</v>
      </c>
      <c r="D313" t="s">
        <v>90</v>
      </c>
      <c r="E313">
        <v>9</v>
      </c>
      <c r="F313" t="s">
        <v>127</v>
      </c>
      <c r="G313">
        <v>70.98</v>
      </c>
      <c r="H313">
        <v>14</v>
      </c>
      <c r="I313">
        <v>22</v>
      </c>
      <c r="J313">
        <v>116</v>
      </c>
      <c r="K313">
        <v>94</v>
      </c>
    </row>
    <row r="314" spans="1:11" x14ac:dyDescent="0.3">
      <c r="A314">
        <v>6.06</v>
      </c>
      <c r="B314" t="s">
        <v>70</v>
      </c>
      <c r="C314" t="s">
        <v>468</v>
      </c>
      <c r="D314" t="s">
        <v>77</v>
      </c>
      <c r="E314">
        <v>9</v>
      </c>
      <c r="F314" t="s">
        <v>341</v>
      </c>
      <c r="G314">
        <v>10.46</v>
      </c>
      <c r="H314">
        <v>31</v>
      </c>
      <c r="I314">
        <v>91</v>
      </c>
      <c r="J314">
        <v>136</v>
      </c>
      <c r="K314">
        <v>45</v>
      </c>
    </row>
    <row r="315" spans="1:11" x14ac:dyDescent="0.3">
      <c r="A315">
        <v>22</v>
      </c>
      <c r="B315" t="s">
        <v>70</v>
      </c>
      <c r="C315" t="s">
        <v>469</v>
      </c>
      <c r="D315" t="s">
        <v>93</v>
      </c>
      <c r="E315">
        <v>9</v>
      </c>
      <c r="F315" t="s">
        <v>156</v>
      </c>
      <c r="G315">
        <v>28.99</v>
      </c>
      <c r="H315">
        <v>88</v>
      </c>
      <c r="I315">
        <v>231</v>
      </c>
      <c r="J315">
        <v>445</v>
      </c>
      <c r="K315">
        <v>214</v>
      </c>
    </row>
    <row r="316" spans="1:11" x14ac:dyDescent="0.3">
      <c r="A316">
        <v>19.2</v>
      </c>
      <c r="B316" t="s">
        <v>70</v>
      </c>
      <c r="C316" t="s">
        <v>470</v>
      </c>
      <c r="D316" t="s">
        <v>80</v>
      </c>
      <c r="E316">
        <v>9</v>
      </c>
      <c r="F316" t="s">
        <v>98</v>
      </c>
      <c r="G316">
        <v>33.39</v>
      </c>
      <c r="H316">
        <v>35</v>
      </c>
      <c r="I316">
        <v>178</v>
      </c>
      <c r="J316">
        <v>315</v>
      </c>
      <c r="K316">
        <v>137</v>
      </c>
    </row>
    <row r="317" spans="1:11" x14ac:dyDescent="0.3">
      <c r="A317">
        <v>55.77</v>
      </c>
      <c r="B317" t="s">
        <v>70</v>
      </c>
      <c r="C317" t="s">
        <v>471</v>
      </c>
      <c r="D317" t="s">
        <v>90</v>
      </c>
      <c r="E317">
        <v>9</v>
      </c>
      <c r="F317" t="s">
        <v>472</v>
      </c>
      <c r="G317">
        <v>106.49</v>
      </c>
      <c r="H317">
        <v>21</v>
      </c>
      <c r="I317">
        <v>63</v>
      </c>
      <c r="J317">
        <v>203</v>
      </c>
      <c r="K317">
        <v>140</v>
      </c>
    </row>
    <row r="318" spans="1:11" x14ac:dyDescent="0.3">
      <c r="A318">
        <v>6.92</v>
      </c>
      <c r="B318" t="s">
        <v>70</v>
      </c>
      <c r="C318" t="s">
        <v>473</v>
      </c>
      <c r="D318" t="s">
        <v>93</v>
      </c>
      <c r="E318">
        <v>9</v>
      </c>
      <c r="F318" t="s">
        <v>94</v>
      </c>
      <c r="G318">
        <v>13.99</v>
      </c>
      <c r="H318">
        <v>117</v>
      </c>
      <c r="I318">
        <v>396</v>
      </c>
      <c r="J318">
        <v>497</v>
      </c>
      <c r="K318">
        <v>101</v>
      </c>
    </row>
    <row r="319" spans="1:11" x14ac:dyDescent="0.3">
      <c r="A319">
        <v>14.65</v>
      </c>
      <c r="B319" t="s">
        <v>70</v>
      </c>
      <c r="C319" t="s">
        <v>474</v>
      </c>
      <c r="D319" t="s">
        <v>83</v>
      </c>
      <c r="E319">
        <v>9</v>
      </c>
      <c r="F319" t="s">
        <v>206</v>
      </c>
      <c r="G319">
        <v>21.44</v>
      </c>
      <c r="H319">
        <v>107</v>
      </c>
      <c r="I319">
        <v>302</v>
      </c>
      <c r="J319">
        <v>466</v>
      </c>
      <c r="K319">
        <v>164</v>
      </c>
    </row>
    <row r="320" spans="1:11" x14ac:dyDescent="0.3">
      <c r="A320">
        <v>49.63</v>
      </c>
      <c r="B320" t="s">
        <v>70</v>
      </c>
      <c r="C320" t="s">
        <v>475</v>
      </c>
      <c r="D320" t="s">
        <v>90</v>
      </c>
      <c r="E320">
        <v>9</v>
      </c>
      <c r="F320" t="s">
        <v>91</v>
      </c>
      <c r="G320">
        <v>73.86</v>
      </c>
      <c r="H320">
        <v>24</v>
      </c>
      <c r="I320">
        <v>48</v>
      </c>
      <c r="J320">
        <v>107</v>
      </c>
      <c r="K320">
        <v>59</v>
      </c>
    </row>
    <row r="321" spans="1:11" x14ac:dyDescent="0.3">
      <c r="A321">
        <v>13.31</v>
      </c>
      <c r="B321" t="s">
        <v>70</v>
      </c>
      <c r="C321" t="s">
        <v>476</v>
      </c>
      <c r="D321" t="s">
        <v>80</v>
      </c>
      <c r="E321">
        <v>9</v>
      </c>
      <c r="F321" t="s">
        <v>233</v>
      </c>
      <c r="G321">
        <v>28.25</v>
      </c>
      <c r="H321">
        <v>72</v>
      </c>
      <c r="I321">
        <v>86</v>
      </c>
      <c r="J321">
        <v>320</v>
      </c>
      <c r="K321">
        <v>234</v>
      </c>
    </row>
    <row r="322" spans="1:11" x14ac:dyDescent="0.3">
      <c r="A322">
        <v>19.43</v>
      </c>
      <c r="B322" t="s">
        <v>70</v>
      </c>
      <c r="C322" t="s">
        <v>477</v>
      </c>
      <c r="D322" t="s">
        <v>90</v>
      </c>
      <c r="E322">
        <v>9</v>
      </c>
      <c r="F322" t="s">
        <v>189</v>
      </c>
      <c r="G322">
        <v>30.37</v>
      </c>
      <c r="H322">
        <v>17</v>
      </c>
      <c r="I322">
        <v>89</v>
      </c>
      <c r="J322">
        <v>105</v>
      </c>
      <c r="K322">
        <v>16</v>
      </c>
    </row>
    <row r="323" spans="1:11" x14ac:dyDescent="0.3">
      <c r="A323">
        <v>9.6199999999999992</v>
      </c>
      <c r="B323" t="s">
        <v>70</v>
      </c>
      <c r="C323" t="s">
        <v>478</v>
      </c>
      <c r="D323" t="s">
        <v>87</v>
      </c>
      <c r="E323">
        <v>9</v>
      </c>
      <c r="F323" t="s">
        <v>337</v>
      </c>
      <c r="G323">
        <v>21.04</v>
      </c>
      <c r="H323">
        <v>41</v>
      </c>
      <c r="I323">
        <v>298</v>
      </c>
      <c r="J323">
        <v>394</v>
      </c>
      <c r="K323">
        <v>96</v>
      </c>
    </row>
    <row r="324" spans="1:11" x14ac:dyDescent="0.3">
      <c r="A324">
        <v>9.77</v>
      </c>
      <c r="B324" t="s">
        <v>70</v>
      </c>
      <c r="C324" t="s">
        <v>479</v>
      </c>
      <c r="D324" t="s">
        <v>77</v>
      </c>
      <c r="E324">
        <v>9</v>
      </c>
      <c r="F324" t="s">
        <v>341</v>
      </c>
      <c r="G324">
        <v>13.64</v>
      </c>
      <c r="H324">
        <v>47</v>
      </c>
      <c r="I324">
        <v>224</v>
      </c>
      <c r="J324">
        <v>346</v>
      </c>
      <c r="K324">
        <v>122</v>
      </c>
    </row>
    <row r="325" spans="1:11" x14ac:dyDescent="0.3">
      <c r="A325">
        <v>13.12</v>
      </c>
      <c r="B325" t="s">
        <v>70</v>
      </c>
      <c r="C325" t="s">
        <v>480</v>
      </c>
      <c r="D325" t="s">
        <v>93</v>
      </c>
      <c r="E325">
        <v>9</v>
      </c>
      <c r="F325" t="s">
        <v>222</v>
      </c>
      <c r="G325">
        <v>23.27</v>
      </c>
      <c r="H325">
        <v>50</v>
      </c>
      <c r="I325">
        <v>102</v>
      </c>
      <c r="J325">
        <v>211</v>
      </c>
      <c r="K325">
        <v>109</v>
      </c>
    </row>
    <row r="326" spans="1:11" x14ac:dyDescent="0.3">
      <c r="A326">
        <v>7.51</v>
      </c>
      <c r="B326" t="s">
        <v>70</v>
      </c>
      <c r="C326" t="s">
        <v>481</v>
      </c>
      <c r="D326" t="s">
        <v>130</v>
      </c>
      <c r="E326">
        <v>9</v>
      </c>
      <c r="F326" t="s">
        <v>290</v>
      </c>
      <c r="G326">
        <v>15.1</v>
      </c>
      <c r="H326">
        <v>50</v>
      </c>
      <c r="I326">
        <v>203</v>
      </c>
      <c r="J326">
        <v>259</v>
      </c>
      <c r="K326">
        <v>56</v>
      </c>
    </row>
    <row r="327" spans="1:11" x14ac:dyDescent="0.3">
      <c r="A327">
        <v>2.88</v>
      </c>
      <c r="B327" t="s">
        <v>70</v>
      </c>
      <c r="C327" t="s">
        <v>482</v>
      </c>
      <c r="D327" t="s">
        <v>77</v>
      </c>
      <c r="E327">
        <v>9</v>
      </c>
      <c r="F327" t="s">
        <v>262</v>
      </c>
      <c r="G327">
        <v>4.03</v>
      </c>
      <c r="H327">
        <v>74</v>
      </c>
      <c r="I327">
        <v>106</v>
      </c>
      <c r="J327">
        <v>321</v>
      </c>
      <c r="K327">
        <v>215</v>
      </c>
    </row>
    <row r="328" spans="1:11" x14ac:dyDescent="0.3">
      <c r="A328">
        <v>19.600000000000001</v>
      </c>
      <c r="B328" t="s">
        <v>70</v>
      </c>
      <c r="C328" t="s">
        <v>483</v>
      </c>
      <c r="D328" t="s">
        <v>80</v>
      </c>
      <c r="E328">
        <v>9</v>
      </c>
      <c r="F328" t="s">
        <v>114</v>
      </c>
      <c r="G328">
        <v>37.42</v>
      </c>
      <c r="H328">
        <v>55</v>
      </c>
      <c r="I328">
        <v>212</v>
      </c>
      <c r="J328">
        <v>293</v>
      </c>
      <c r="K328">
        <v>81</v>
      </c>
    </row>
    <row r="329" spans="1:11" x14ac:dyDescent="0.3">
      <c r="A329">
        <v>7.98</v>
      </c>
      <c r="B329" t="s">
        <v>70</v>
      </c>
      <c r="C329" t="s">
        <v>484</v>
      </c>
      <c r="D329" t="s">
        <v>130</v>
      </c>
      <c r="E329">
        <v>9</v>
      </c>
      <c r="F329" t="s">
        <v>143</v>
      </c>
      <c r="G329">
        <v>10.76</v>
      </c>
      <c r="H329">
        <v>30</v>
      </c>
      <c r="I329">
        <v>35</v>
      </c>
      <c r="J329">
        <v>199</v>
      </c>
      <c r="K329">
        <v>164</v>
      </c>
    </row>
    <row r="330" spans="1:11" x14ac:dyDescent="0.3">
      <c r="A330">
        <v>34.229999999999997</v>
      </c>
      <c r="B330" t="s">
        <v>70</v>
      </c>
      <c r="C330" t="s">
        <v>485</v>
      </c>
      <c r="D330" t="s">
        <v>93</v>
      </c>
      <c r="E330">
        <v>9</v>
      </c>
      <c r="F330" t="s">
        <v>166</v>
      </c>
      <c r="G330">
        <v>67.739999999999995</v>
      </c>
      <c r="H330">
        <v>12</v>
      </c>
      <c r="I330">
        <v>16</v>
      </c>
      <c r="J330">
        <v>52</v>
      </c>
      <c r="K330">
        <v>36</v>
      </c>
    </row>
    <row r="331" spans="1:11" x14ac:dyDescent="0.3">
      <c r="A331">
        <v>5.07</v>
      </c>
      <c r="B331" t="s">
        <v>70</v>
      </c>
      <c r="C331" t="s">
        <v>486</v>
      </c>
      <c r="D331" t="s">
        <v>87</v>
      </c>
      <c r="E331">
        <v>9</v>
      </c>
      <c r="F331" t="s">
        <v>138</v>
      </c>
      <c r="G331">
        <v>7.51</v>
      </c>
      <c r="H331">
        <v>63</v>
      </c>
      <c r="I331">
        <v>232</v>
      </c>
      <c r="J331">
        <v>289</v>
      </c>
      <c r="K331">
        <v>57</v>
      </c>
    </row>
    <row r="332" spans="1:11" x14ac:dyDescent="0.3">
      <c r="A332">
        <v>18.11</v>
      </c>
      <c r="B332" t="s">
        <v>70</v>
      </c>
      <c r="C332" t="s">
        <v>487</v>
      </c>
      <c r="D332" t="s">
        <v>72</v>
      </c>
      <c r="E332">
        <v>9</v>
      </c>
      <c r="F332" t="s">
        <v>75</v>
      </c>
      <c r="G332">
        <v>28.51</v>
      </c>
      <c r="H332">
        <v>19</v>
      </c>
      <c r="I332">
        <v>152</v>
      </c>
      <c r="J332">
        <v>188</v>
      </c>
      <c r="K332">
        <v>36</v>
      </c>
    </row>
    <row r="333" spans="1:11" x14ac:dyDescent="0.3">
      <c r="A333">
        <v>1.47</v>
      </c>
      <c r="B333" t="s">
        <v>70</v>
      </c>
      <c r="C333" t="s">
        <v>488</v>
      </c>
      <c r="D333" t="s">
        <v>77</v>
      </c>
      <c r="E333">
        <v>9</v>
      </c>
      <c r="F333" t="s">
        <v>152</v>
      </c>
      <c r="G333">
        <v>2.76</v>
      </c>
      <c r="H333">
        <v>48</v>
      </c>
      <c r="I333">
        <v>198</v>
      </c>
      <c r="J333">
        <v>304</v>
      </c>
      <c r="K333">
        <v>106</v>
      </c>
    </row>
    <row r="334" spans="1:11" x14ac:dyDescent="0.3">
      <c r="A334">
        <v>10.36</v>
      </c>
      <c r="B334" t="s">
        <v>70</v>
      </c>
      <c r="C334" t="s">
        <v>489</v>
      </c>
      <c r="D334" t="s">
        <v>80</v>
      </c>
      <c r="E334">
        <v>9</v>
      </c>
      <c r="F334" t="s">
        <v>104</v>
      </c>
      <c r="G334">
        <v>16.8</v>
      </c>
      <c r="H334">
        <v>20</v>
      </c>
      <c r="I334">
        <v>35</v>
      </c>
      <c r="J334">
        <v>131</v>
      </c>
      <c r="K334">
        <v>96</v>
      </c>
    </row>
    <row r="335" spans="1:11" x14ac:dyDescent="0.3">
      <c r="A335">
        <v>6.1</v>
      </c>
      <c r="B335" t="s">
        <v>70</v>
      </c>
      <c r="C335" t="s">
        <v>490</v>
      </c>
      <c r="D335" t="s">
        <v>72</v>
      </c>
      <c r="E335">
        <v>9</v>
      </c>
      <c r="F335" t="s">
        <v>168</v>
      </c>
      <c r="G335">
        <v>10.92</v>
      </c>
      <c r="H335">
        <v>31</v>
      </c>
      <c r="I335">
        <v>120</v>
      </c>
      <c r="J335">
        <v>162</v>
      </c>
      <c r="K335">
        <v>42</v>
      </c>
    </row>
    <row r="336" spans="1:11" x14ac:dyDescent="0.3">
      <c r="A336">
        <v>16.11</v>
      </c>
      <c r="B336" t="s">
        <v>70</v>
      </c>
      <c r="C336" t="s">
        <v>491</v>
      </c>
      <c r="D336" t="s">
        <v>72</v>
      </c>
      <c r="E336">
        <v>9</v>
      </c>
      <c r="F336" t="s">
        <v>463</v>
      </c>
      <c r="G336">
        <v>35.200000000000003</v>
      </c>
      <c r="H336">
        <v>62</v>
      </c>
      <c r="I336">
        <v>192</v>
      </c>
      <c r="J336">
        <v>446</v>
      </c>
      <c r="K336">
        <v>254</v>
      </c>
    </row>
    <row r="337" spans="1:11" x14ac:dyDescent="0.3">
      <c r="A337">
        <v>10.95</v>
      </c>
      <c r="B337" t="s">
        <v>70</v>
      </c>
      <c r="C337" t="s">
        <v>492</v>
      </c>
      <c r="D337" t="s">
        <v>80</v>
      </c>
      <c r="E337">
        <v>9</v>
      </c>
      <c r="F337" t="s">
        <v>160</v>
      </c>
      <c r="G337">
        <v>22.77</v>
      </c>
      <c r="H337">
        <v>69</v>
      </c>
      <c r="I337">
        <v>193</v>
      </c>
      <c r="J337">
        <v>354</v>
      </c>
      <c r="K337">
        <v>161</v>
      </c>
    </row>
    <row r="338" spans="1:11" x14ac:dyDescent="0.3">
      <c r="A338">
        <v>15.61</v>
      </c>
      <c r="B338" t="s">
        <v>70</v>
      </c>
      <c r="C338" t="s">
        <v>493</v>
      </c>
      <c r="D338" t="s">
        <v>93</v>
      </c>
      <c r="E338">
        <v>9</v>
      </c>
      <c r="F338" t="s">
        <v>156</v>
      </c>
      <c r="G338">
        <v>21.46</v>
      </c>
      <c r="H338">
        <v>18</v>
      </c>
      <c r="I338">
        <v>82</v>
      </c>
      <c r="J338">
        <v>99</v>
      </c>
      <c r="K338">
        <v>17</v>
      </c>
    </row>
    <row r="339" spans="1:11" x14ac:dyDescent="0.3">
      <c r="A339">
        <v>8.42</v>
      </c>
      <c r="B339" t="s">
        <v>70</v>
      </c>
      <c r="C339" t="s">
        <v>494</v>
      </c>
      <c r="D339" t="s">
        <v>83</v>
      </c>
      <c r="E339">
        <v>9</v>
      </c>
      <c r="F339" t="s">
        <v>84</v>
      </c>
      <c r="G339">
        <v>17.2</v>
      </c>
      <c r="H339">
        <v>87</v>
      </c>
      <c r="I339">
        <v>350</v>
      </c>
      <c r="J339">
        <v>456</v>
      </c>
      <c r="K339">
        <v>106</v>
      </c>
    </row>
    <row r="340" spans="1:11" x14ac:dyDescent="0.3">
      <c r="A340">
        <v>12.43</v>
      </c>
      <c r="B340" t="s">
        <v>70</v>
      </c>
      <c r="C340" t="s">
        <v>495</v>
      </c>
      <c r="D340" t="s">
        <v>87</v>
      </c>
      <c r="E340">
        <v>9</v>
      </c>
      <c r="F340" t="s">
        <v>122</v>
      </c>
      <c r="G340">
        <v>24.87</v>
      </c>
      <c r="H340">
        <v>106</v>
      </c>
      <c r="I340">
        <v>107</v>
      </c>
      <c r="J340">
        <v>429</v>
      </c>
      <c r="K340">
        <v>322</v>
      </c>
    </row>
    <row r="341" spans="1:11" x14ac:dyDescent="0.3">
      <c r="A341">
        <v>18.260000000000002</v>
      </c>
      <c r="B341" t="s">
        <v>70</v>
      </c>
      <c r="C341" t="s">
        <v>496</v>
      </c>
      <c r="D341" t="s">
        <v>80</v>
      </c>
      <c r="E341">
        <v>9</v>
      </c>
      <c r="F341" t="s">
        <v>114</v>
      </c>
      <c r="G341">
        <v>34.450000000000003</v>
      </c>
      <c r="H341">
        <v>88</v>
      </c>
      <c r="I341">
        <v>292</v>
      </c>
      <c r="J341">
        <v>436</v>
      </c>
      <c r="K341">
        <v>144</v>
      </c>
    </row>
    <row r="342" spans="1:11" x14ac:dyDescent="0.3">
      <c r="A342">
        <v>11.61</v>
      </c>
      <c r="B342" t="s">
        <v>70</v>
      </c>
      <c r="C342" t="s">
        <v>497</v>
      </c>
      <c r="D342" t="s">
        <v>130</v>
      </c>
      <c r="E342">
        <v>9</v>
      </c>
      <c r="F342" t="s">
        <v>248</v>
      </c>
      <c r="G342">
        <v>15.16</v>
      </c>
      <c r="H342">
        <v>84</v>
      </c>
      <c r="I342">
        <v>350</v>
      </c>
      <c r="J342">
        <v>391</v>
      </c>
      <c r="K342">
        <v>41</v>
      </c>
    </row>
    <row r="343" spans="1:11" x14ac:dyDescent="0.3">
      <c r="A343">
        <v>10</v>
      </c>
      <c r="B343" t="s">
        <v>70</v>
      </c>
      <c r="C343" t="s">
        <v>498</v>
      </c>
      <c r="D343" t="s">
        <v>130</v>
      </c>
      <c r="E343">
        <v>9</v>
      </c>
      <c r="F343" t="s">
        <v>228</v>
      </c>
      <c r="G343">
        <v>20.5</v>
      </c>
      <c r="H343">
        <v>64</v>
      </c>
      <c r="I343">
        <v>132</v>
      </c>
      <c r="J343">
        <v>289</v>
      </c>
      <c r="K343">
        <v>157</v>
      </c>
    </row>
    <row r="344" spans="1:11" x14ac:dyDescent="0.3">
      <c r="A344">
        <v>14.73</v>
      </c>
      <c r="B344" t="s">
        <v>70</v>
      </c>
      <c r="C344" t="s">
        <v>499</v>
      </c>
      <c r="D344" t="s">
        <v>72</v>
      </c>
      <c r="E344">
        <v>9</v>
      </c>
      <c r="F344" t="s">
        <v>73</v>
      </c>
      <c r="G344">
        <v>22.35</v>
      </c>
      <c r="H344">
        <v>104</v>
      </c>
      <c r="I344">
        <v>217</v>
      </c>
      <c r="J344">
        <v>471</v>
      </c>
      <c r="K344">
        <v>254</v>
      </c>
    </row>
    <row r="345" spans="1:11" x14ac:dyDescent="0.3">
      <c r="A345">
        <v>18.61</v>
      </c>
      <c r="B345" t="s">
        <v>70</v>
      </c>
      <c r="C345" t="s">
        <v>500</v>
      </c>
      <c r="D345" t="s">
        <v>90</v>
      </c>
      <c r="E345">
        <v>9</v>
      </c>
      <c r="F345" t="s">
        <v>133</v>
      </c>
      <c r="G345">
        <v>39.14</v>
      </c>
      <c r="H345">
        <v>45</v>
      </c>
      <c r="I345">
        <v>185</v>
      </c>
      <c r="J345">
        <v>233</v>
      </c>
      <c r="K345">
        <v>48</v>
      </c>
    </row>
    <row r="346" spans="1:11" x14ac:dyDescent="0.3">
      <c r="A346">
        <v>7.04</v>
      </c>
      <c r="B346" t="s">
        <v>70</v>
      </c>
      <c r="C346" t="s">
        <v>501</v>
      </c>
      <c r="D346" t="s">
        <v>80</v>
      </c>
      <c r="E346">
        <v>9</v>
      </c>
      <c r="F346" t="s">
        <v>136</v>
      </c>
      <c r="G346">
        <v>10.65</v>
      </c>
      <c r="H346">
        <v>42</v>
      </c>
      <c r="I346">
        <v>322</v>
      </c>
      <c r="J346">
        <v>360</v>
      </c>
      <c r="K346">
        <v>38</v>
      </c>
    </row>
    <row r="347" spans="1:11" x14ac:dyDescent="0.3">
      <c r="A347">
        <v>18.62</v>
      </c>
      <c r="B347" t="s">
        <v>70</v>
      </c>
      <c r="C347" t="s">
        <v>502</v>
      </c>
      <c r="D347" t="s">
        <v>87</v>
      </c>
      <c r="E347">
        <v>9</v>
      </c>
      <c r="F347" t="s">
        <v>138</v>
      </c>
      <c r="G347">
        <v>25.44</v>
      </c>
      <c r="H347">
        <v>10</v>
      </c>
      <c r="I347">
        <v>67</v>
      </c>
      <c r="J347">
        <v>86</v>
      </c>
      <c r="K347">
        <v>19</v>
      </c>
    </row>
    <row r="348" spans="1:11" x14ac:dyDescent="0.3">
      <c r="A348">
        <v>15.46</v>
      </c>
      <c r="B348" t="s">
        <v>70</v>
      </c>
      <c r="C348" t="s">
        <v>503</v>
      </c>
      <c r="D348" t="s">
        <v>72</v>
      </c>
      <c r="E348">
        <v>9</v>
      </c>
      <c r="F348" t="s">
        <v>168</v>
      </c>
      <c r="G348">
        <v>30.06</v>
      </c>
      <c r="H348">
        <v>102</v>
      </c>
      <c r="I348">
        <v>309</v>
      </c>
      <c r="J348">
        <v>480</v>
      </c>
      <c r="K348">
        <v>171</v>
      </c>
    </row>
    <row r="349" spans="1:11" x14ac:dyDescent="0.3">
      <c r="A349">
        <v>0.95</v>
      </c>
      <c r="B349" t="s">
        <v>70</v>
      </c>
      <c r="C349" t="s">
        <v>504</v>
      </c>
      <c r="D349" t="s">
        <v>83</v>
      </c>
      <c r="E349">
        <v>9</v>
      </c>
      <c r="F349" t="s">
        <v>84</v>
      </c>
      <c r="G349">
        <v>1.49</v>
      </c>
      <c r="H349">
        <v>108</v>
      </c>
      <c r="I349">
        <v>396</v>
      </c>
      <c r="J349">
        <v>483</v>
      </c>
      <c r="K349">
        <v>87</v>
      </c>
    </row>
    <row r="350" spans="1:11" x14ac:dyDescent="0.3">
      <c r="A350">
        <v>27.67</v>
      </c>
      <c r="B350" t="s">
        <v>70</v>
      </c>
      <c r="C350" t="s">
        <v>505</v>
      </c>
      <c r="D350" t="s">
        <v>130</v>
      </c>
      <c r="E350">
        <v>9</v>
      </c>
      <c r="F350" t="s">
        <v>173</v>
      </c>
      <c r="G350">
        <v>36.18</v>
      </c>
      <c r="H350">
        <v>53</v>
      </c>
      <c r="I350">
        <v>263</v>
      </c>
      <c r="J350">
        <v>369</v>
      </c>
      <c r="K350">
        <v>106</v>
      </c>
    </row>
    <row r="351" spans="1:11" x14ac:dyDescent="0.3">
      <c r="A351">
        <v>22.26</v>
      </c>
      <c r="B351" t="s">
        <v>70</v>
      </c>
      <c r="C351" t="s">
        <v>506</v>
      </c>
      <c r="D351" t="s">
        <v>87</v>
      </c>
      <c r="E351">
        <v>9</v>
      </c>
      <c r="F351" t="s">
        <v>303</v>
      </c>
      <c r="G351">
        <v>46.58</v>
      </c>
      <c r="H351">
        <v>29</v>
      </c>
      <c r="I351">
        <v>174</v>
      </c>
      <c r="J351">
        <v>218</v>
      </c>
      <c r="K351">
        <v>44</v>
      </c>
    </row>
    <row r="352" spans="1:11" x14ac:dyDescent="0.3">
      <c r="A352">
        <v>19.309999999999999</v>
      </c>
      <c r="B352" t="s">
        <v>70</v>
      </c>
      <c r="C352" t="s">
        <v>507</v>
      </c>
      <c r="D352" t="s">
        <v>87</v>
      </c>
      <c r="E352">
        <v>9</v>
      </c>
      <c r="F352" t="s">
        <v>88</v>
      </c>
      <c r="G352">
        <v>28.06</v>
      </c>
      <c r="H352">
        <v>4</v>
      </c>
      <c r="I352">
        <v>12</v>
      </c>
      <c r="J352">
        <v>22</v>
      </c>
      <c r="K352">
        <v>10</v>
      </c>
    </row>
    <row r="353" spans="1:11" x14ac:dyDescent="0.3">
      <c r="A353">
        <v>1.41</v>
      </c>
      <c r="B353" t="s">
        <v>70</v>
      </c>
      <c r="C353" t="s">
        <v>508</v>
      </c>
      <c r="D353" t="s">
        <v>83</v>
      </c>
      <c r="E353">
        <v>9</v>
      </c>
      <c r="F353" t="s">
        <v>100</v>
      </c>
      <c r="G353">
        <v>1.88</v>
      </c>
      <c r="H353">
        <v>65</v>
      </c>
      <c r="I353">
        <v>109</v>
      </c>
      <c r="J353">
        <v>399</v>
      </c>
      <c r="K353">
        <v>290</v>
      </c>
    </row>
    <row r="354" spans="1:11" x14ac:dyDescent="0.3">
      <c r="A354">
        <v>3.01</v>
      </c>
      <c r="B354" t="s">
        <v>70</v>
      </c>
      <c r="C354" t="s">
        <v>509</v>
      </c>
      <c r="D354" t="s">
        <v>90</v>
      </c>
      <c r="E354">
        <v>9</v>
      </c>
      <c r="F354" t="s">
        <v>177</v>
      </c>
      <c r="G354">
        <v>5.23</v>
      </c>
      <c r="H354">
        <v>36</v>
      </c>
      <c r="I354">
        <v>63</v>
      </c>
      <c r="J354">
        <v>219</v>
      </c>
      <c r="K354">
        <v>156</v>
      </c>
    </row>
    <row r="355" spans="1:11" x14ac:dyDescent="0.3">
      <c r="A355">
        <v>21.59</v>
      </c>
      <c r="B355" t="s">
        <v>70</v>
      </c>
      <c r="C355" t="s">
        <v>510</v>
      </c>
      <c r="D355" t="s">
        <v>72</v>
      </c>
      <c r="E355">
        <v>9</v>
      </c>
      <c r="F355" t="s">
        <v>239</v>
      </c>
      <c r="G355">
        <v>35</v>
      </c>
      <c r="H355">
        <v>48</v>
      </c>
      <c r="I355">
        <v>132</v>
      </c>
      <c r="J355">
        <v>213</v>
      </c>
      <c r="K355">
        <v>81</v>
      </c>
    </row>
    <row r="356" spans="1:11" x14ac:dyDescent="0.3">
      <c r="A356">
        <v>7.64</v>
      </c>
      <c r="B356" t="s">
        <v>70</v>
      </c>
      <c r="C356" t="s">
        <v>511</v>
      </c>
      <c r="D356" t="s">
        <v>80</v>
      </c>
      <c r="E356">
        <v>9</v>
      </c>
      <c r="F356" t="s">
        <v>160</v>
      </c>
      <c r="G356">
        <v>12.5</v>
      </c>
      <c r="H356">
        <v>39</v>
      </c>
      <c r="I356">
        <v>171</v>
      </c>
      <c r="J356">
        <v>243</v>
      </c>
      <c r="K356">
        <v>72</v>
      </c>
    </row>
    <row r="357" spans="1:11" x14ac:dyDescent="0.3">
      <c r="A357">
        <v>11.06</v>
      </c>
      <c r="B357" t="s">
        <v>70</v>
      </c>
      <c r="C357" t="s">
        <v>512</v>
      </c>
      <c r="D357" t="s">
        <v>130</v>
      </c>
      <c r="E357">
        <v>9</v>
      </c>
      <c r="F357" t="s">
        <v>290</v>
      </c>
      <c r="G357">
        <v>17.809999999999999</v>
      </c>
      <c r="H357">
        <v>32</v>
      </c>
      <c r="I357">
        <v>166</v>
      </c>
      <c r="J357">
        <v>197</v>
      </c>
      <c r="K357">
        <v>31</v>
      </c>
    </row>
    <row r="358" spans="1:11" x14ac:dyDescent="0.3">
      <c r="A358">
        <v>8.9600000000000009</v>
      </c>
      <c r="B358" t="s">
        <v>70</v>
      </c>
      <c r="C358" t="s">
        <v>513</v>
      </c>
      <c r="D358" t="s">
        <v>83</v>
      </c>
      <c r="E358">
        <v>9</v>
      </c>
      <c r="F358" t="s">
        <v>202</v>
      </c>
      <c r="G358">
        <v>17.190000000000001</v>
      </c>
      <c r="H358">
        <v>98</v>
      </c>
      <c r="I358">
        <v>311</v>
      </c>
      <c r="J358">
        <v>413</v>
      </c>
      <c r="K358">
        <v>102</v>
      </c>
    </row>
    <row r="359" spans="1:11" x14ac:dyDescent="0.3">
      <c r="A359">
        <v>10.44</v>
      </c>
      <c r="B359" t="s">
        <v>70</v>
      </c>
      <c r="C359" t="s">
        <v>514</v>
      </c>
      <c r="D359" t="s">
        <v>83</v>
      </c>
      <c r="E359">
        <v>9</v>
      </c>
      <c r="F359" t="s">
        <v>120</v>
      </c>
      <c r="G359">
        <v>15.98</v>
      </c>
      <c r="H359">
        <v>11</v>
      </c>
      <c r="I359">
        <v>54</v>
      </c>
      <c r="J359">
        <v>67</v>
      </c>
      <c r="K359">
        <v>13</v>
      </c>
    </row>
    <row r="360" spans="1:11" x14ac:dyDescent="0.3">
      <c r="A360">
        <v>13.29</v>
      </c>
      <c r="B360" t="s">
        <v>70</v>
      </c>
      <c r="C360" t="s">
        <v>515</v>
      </c>
      <c r="D360" t="s">
        <v>87</v>
      </c>
      <c r="E360">
        <v>9</v>
      </c>
      <c r="F360" t="s">
        <v>122</v>
      </c>
      <c r="G360">
        <v>26.52</v>
      </c>
      <c r="H360">
        <v>52</v>
      </c>
      <c r="I360">
        <v>174</v>
      </c>
      <c r="J360">
        <v>219</v>
      </c>
      <c r="K360">
        <v>45</v>
      </c>
    </row>
    <row r="361" spans="1:11" x14ac:dyDescent="0.3">
      <c r="A361">
        <v>11.91</v>
      </c>
      <c r="B361" t="s">
        <v>70</v>
      </c>
      <c r="C361" t="s">
        <v>516</v>
      </c>
      <c r="D361" t="s">
        <v>93</v>
      </c>
      <c r="E361">
        <v>9</v>
      </c>
      <c r="F361" t="s">
        <v>414</v>
      </c>
      <c r="G361">
        <v>21.88</v>
      </c>
      <c r="H361">
        <v>66</v>
      </c>
      <c r="I361">
        <v>75</v>
      </c>
      <c r="J361">
        <v>472</v>
      </c>
      <c r="K361">
        <v>397</v>
      </c>
    </row>
    <row r="362" spans="1:11" x14ac:dyDescent="0.3">
      <c r="A362">
        <v>1.67</v>
      </c>
      <c r="B362" t="s">
        <v>70</v>
      </c>
      <c r="C362" t="s">
        <v>517</v>
      </c>
      <c r="D362" t="s">
        <v>83</v>
      </c>
      <c r="E362">
        <v>9</v>
      </c>
      <c r="F362" t="s">
        <v>100</v>
      </c>
      <c r="G362">
        <v>3.08</v>
      </c>
      <c r="H362">
        <v>27</v>
      </c>
      <c r="I362">
        <v>78</v>
      </c>
      <c r="J362">
        <v>225</v>
      </c>
      <c r="K362">
        <v>147</v>
      </c>
    </row>
    <row r="363" spans="1:11" x14ac:dyDescent="0.3">
      <c r="A363">
        <v>9.7899999999999991</v>
      </c>
      <c r="B363" t="s">
        <v>70</v>
      </c>
      <c r="C363" t="s">
        <v>518</v>
      </c>
      <c r="D363" t="s">
        <v>83</v>
      </c>
      <c r="E363">
        <v>9</v>
      </c>
      <c r="F363" t="s">
        <v>210</v>
      </c>
      <c r="G363">
        <v>20.59</v>
      </c>
      <c r="H363">
        <v>110</v>
      </c>
      <c r="I363">
        <v>206</v>
      </c>
      <c r="J363">
        <v>449</v>
      </c>
      <c r="K363">
        <v>243</v>
      </c>
    </row>
    <row r="364" spans="1:11" x14ac:dyDescent="0.3">
      <c r="A364">
        <v>16.72</v>
      </c>
      <c r="B364" t="s">
        <v>70</v>
      </c>
      <c r="C364" t="s">
        <v>519</v>
      </c>
      <c r="D364" t="s">
        <v>130</v>
      </c>
      <c r="E364">
        <v>9</v>
      </c>
      <c r="F364" t="s">
        <v>228</v>
      </c>
      <c r="G364">
        <v>36.22</v>
      </c>
      <c r="H364">
        <v>6</v>
      </c>
      <c r="I364">
        <v>20</v>
      </c>
      <c r="J364">
        <v>27</v>
      </c>
      <c r="K364">
        <v>7</v>
      </c>
    </row>
    <row r="365" spans="1:11" x14ac:dyDescent="0.3">
      <c r="A365">
        <v>8.74</v>
      </c>
      <c r="B365" t="s">
        <v>70</v>
      </c>
      <c r="C365" t="s">
        <v>520</v>
      </c>
      <c r="D365" t="s">
        <v>72</v>
      </c>
      <c r="E365">
        <v>9</v>
      </c>
      <c r="F365" t="s">
        <v>102</v>
      </c>
      <c r="G365">
        <v>18.95</v>
      </c>
      <c r="H365">
        <v>3</v>
      </c>
      <c r="I365">
        <v>6</v>
      </c>
      <c r="J365">
        <v>21</v>
      </c>
      <c r="K365">
        <v>15</v>
      </c>
    </row>
    <row r="366" spans="1:11" x14ac:dyDescent="0.3">
      <c r="A366">
        <v>59.31</v>
      </c>
      <c r="B366" t="s">
        <v>70</v>
      </c>
      <c r="C366" t="s">
        <v>521</v>
      </c>
      <c r="D366" t="s">
        <v>90</v>
      </c>
      <c r="E366">
        <v>9</v>
      </c>
      <c r="F366" t="s">
        <v>472</v>
      </c>
      <c r="G366">
        <v>126.14</v>
      </c>
      <c r="H366">
        <v>35</v>
      </c>
      <c r="I366">
        <v>167</v>
      </c>
      <c r="J366">
        <v>228</v>
      </c>
      <c r="K366">
        <v>61</v>
      </c>
    </row>
    <row r="367" spans="1:11" x14ac:dyDescent="0.3">
      <c r="A367">
        <v>14.88</v>
      </c>
      <c r="B367" t="s">
        <v>70</v>
      </c>
      <c r="C367" t="s">
        <v>522</v>
      </c>
      <c r="D367" t="s">
        <v>87</v>
      </c>
      <c r="E367">
        <v>9</v>
      </c>
      <c r="F367" t="s">
        <v>110</v>
      </c>
      <c r="G367">
        <v>31.44</v>
      </c>
      <c r="H367">
        <v>57</v>
      </c>
      <c r="I367">
        <v>114</v>
      </c>
      <c r="J367">
        <v>399</v>
      </c>
      <c r="K367">
        <v>285</v>
      </c>
    </row>
    <row r="368" spans="1:11" x14ac:dyDescent="0.3">
      <c r="A368">
        <v>7.31</v>
      </c>
      <c r="B368" t="s">
        <v>70</v>
      </c>
      <c r="C368" t="s">
        <v>523</v>
      </c>
      <c r="D368" t="s">
        <v>130</v>
      </c>
      <c r="E368">
        <v>9</v>
      </c>
      <c r="F368" t="s">
        <v>143</v>
      </c>
      <c r="G368">
        <v>12.35</v>
      </c>
      <c r="H368">
        <v>3</v>
      </c>
      <c r="I368">
        <v>20</v>
      </c>
      <c r="J368">
        <v>32</v>
      </c>
      <c r="K368">
        <v>12</v>
      </c>
    </row>
    <row r="369" spans="1:11" x14ac:dyDescent="0.3">
      <c r="A369">
        <v>9.44</v>
      </c>
      <c r="B369" t="s">
        <v>70</v>
      </c>
      <c r="C369" t="s">
        <v>524</v>
      </c>
      <c r="D369" t="s">
        <v>72</v>
      </c>
      <c r="E369">
        <v>9</v>
      </c>
      <c r="F369" t="s">
        <v>197</v>
      </c>
      <c r="G369">
        <v>15.12</v>
      </c>
      <c r="H369">
        <v>58</v>
      </c>
      <c r="I369">
        <v>144</v>
      </c>
      <c r="J369">
        <v>325</v>
      </c>
      <c r="K369">
        <v>181</v>
      </c>
    </row>
    <row r="370" spans="1:11" x14ac:dyDescent="0.3">
      <c r="A370">
        <v>13.33</v>
      </c>
      <c r="B370" t="s">
        <v>70</v>
      </c>
      <c r="C370" t="s">
        <v>525</v>
      </c>
      <c r="D370" t="s">
        <v>87</v>
      </c>
      <c r="E370">
        <v>9</v>
      </c>
      <c r="F370" t="s">
        <v>112</v>
      </c>
      <c r="G370">
        <v>19.98</v>
      </c>
      <c r="H370">
        <v>77</v>
      </c>
      <c r="I370">
        <v>151</v>
      </c>
      <c r="J370">
        <v>328</v>
      </c>
      <c r="K370">
        <v>177</v>
      </c>
    </row>
    <row r="371" spans="1:11" x14ac:dyDescent="0.3">
      <c r="A371">
        <v>19.399999999999999</v>
      </c>
      <c r="B371" t="s">
        <v>70</v>
      </c>
      <c r="C371" t="s">
        <v>526</v>
      </c>
      <c r="D371" t="s">
        <v>72</v>
      </c>
      <c r="E371">
        <v>9</v>
      </c>
      <c r="F371" t="s">
        <v>197</v>
      </c>
      <c r="G371">
        <v>25.52</v>
      </c>
      <c r="H371">
        <v>44</v>
      </c>
      <c r="I371">
        <v>153</v>
      </c>
      <c r="J371">
        <v>201</v>
      </c>
      <c r="K371">
        <v>48</v>
      </c>
    </row>
    <row r="372" spans="1:11" x14ac:dyDescent="0.3">
      <c r="A372">
        <v>22.2</v>
      </c>
      <c r="B372" t="s">
        <v>70</v>
      </c>
      <c r="C372" t="s">
        <v>527</v>
      </c>
      <c r="D372" t="s">
        <v>72</v>
      </c>
      <c r="E372">
        <v>9</v>
      </c>
      <c r="F372" t="s">
        <v>96</v>
      </c>
      <c r="G372">
        <v>39.729999999999997</v>
      </c>
      <c r="H372">
        <v>5</v>
      </c>
      <c r="I372">
        <v>7</v>
      </c>
      <c r="J372">
        <v>43</v>
      </c>
      <c r="K372">
        <v>36</v>
      </c>
    </row>
    <row r="373" spans="1:11" x14ac:dyDescent="0.3">
      <c r="A373">
        <v>22.82</v>
      </c>
      <c r="B373" t="s">
        <v>70</v>
      </c>
      <c r="C373" t="s">
        <v>528</v>
      </c>
      <c r="D373" t="s">
        <v>72</v>
      </c>
      <c r="E373">
        <v>9</v>
      </c>
      <c r="F373" t="s">
        <v>168</v>
      </c>
      <c r="G373">
        <v>34.700000000000003</v>
      </c>
      <c r="H373">
        <v>36</v>
      </c>
      <c r="I373">
        <v>93</v>
      </c>
      <c r="J373">
        <v>293</v>
      </c>
      <c r="K373">
        <v>200</v>
      </c>
    </row>
    <row r="374" spans="1:11" x14ac:dyDescent="0.3">
      <c r="A374">
        <v>4.43</v>
      </c>
      <c r="B374" t="s">
        <v>70</v>
      </c>
      <c r="C374" t="s">
        <v>529</v>
      </c>
      <c r="D374" t="s">
        <v>130</v>
      </c>
      <c r="E374">
        <v>9</v>
      </c>
      <c r="F374" t="s">
        <v>154</v>
      </c>
      <c r="G374">
        <v>8.51</v>
      </c>
      <c r="H374">
        <v>69</v>
      </c>
      <c r="I374">
        <v>247</v>
      </c>
      <c r="J374">
        <v>445</v>
      </c>
      <c r="K374">
        <v>198</v>
      </c>
    </row>
    <row r="375" spans="1:11" x14ac:dyDescent="0.3">
      <c r="A375">
        <v>4.37</v>
      </c>
      <c r="B375" t="s">
        <v>70</v>
      </c>
      <c r="C375" t="s">
        <v>530</v>
      </c>
      <c r="D375" t="s">
        <v>83</v>
      </c>
      <c r="E375">
        <v>9</v>
      </c>
      <c r="F375" t="s">
        <v>84</v>
      </c>
      <c r="G375">
        <v>9.6</v>
      </c>
      <c r="H375">
        <v>15</v>
      </c>
      <c r="I375">
        <v>62</v>
      </c>
      <c r="J375">
        <v>83</v>
      </c>
      <c r="K375">
        <v>21</v>
      </c>
    </row>
    <row r="376" spans="1:11" x14ac:dyDescent="0.3">
      <c r="A376">
        <v>5.53</v>
      </c>
      <c r="B376" t="s">
        <v>70</v>
      </c>
      <c r="C376" t="s">
        <v>531</v>
      </c>
      <c r="D376" t="s">
        <v>77</v>
      </c>
      <c r="E376">
        <v>9</v>
      </c>
      <c r="F376" t="s">
        <v>446</v>
      </c>
      <c r="G376">
        <v>7.51</v>
      </c>
      <c r="H376">
        <v>58</v>
      </c>
      <c r="I376">
        <v>203</v>
      </c>
      <c r="J376">
        <v>289</v>
      </c>
      <c r="K376">
        <v>86</v>
      </c>
    </row>
    <row r="377" spans="1:11" x14ac:dyDescent="0.3">
      <c r="A377">
        <v>13.68</v>
      </c>
      <c r="B377" t="s">
        <v>70</v>
      </c>
      <c r="C377" t="s">
        <v>532</v>
      </c>
      <c r="D377" t="s">
        <v>93</v>
      </c>
      <c r="E377">
        <v>9</v>
      </c>
      <c r="F377" t="s">
        <v>125</v>
      </c>
      <c r="G377">
        <v>27.78</v>
      </c>
      <c r="H377">
        <v>18</v>
      </c>
      <c r="I377">
        <v>82</v>
      </c>
      <c r="J377">
        <v>151</v>
      </c>
      <c r="K377">
        <v>69</v>
      </c>
    </row>
    <row r="378" spans="1:11" x14ac:dyDescent="0.3">
      <c r="A378">
        <v>4.47</v>
      </c>
      <c r="B378" t="s">
        <v>70</v>
      </c>
      <c r="C378" t="s">
        <v>533</v>
      </c>
      <c r="D378" t="s">
        <v>90</v>
      </c>
      <c r="E378">
        <v>9</v>
      </c>
      <c r="F378" t="s">
        <v>127</v>
      </c>
      <c r="G378">
        <v>7.99</v>
      </c>
      <c r="H378">
        <v>77</v>
      </c>
      <c r="I378">
        <v>236</v>
      </c>
      <c r="J378">
        <v>366</v>
      </c>
      <c r="K378">
        <v>130</v>
      </c>
    </row>
    <row r="379" spans="1:11" x14ac:dyDescent="0.3">
      <c r="A379">
        <v>18.28</v>
      </c>
      <c r="B379" t="s">
        <v>70</v>
      </c>
      <c r="C379" t="s">
        <v>534</v>
      </c>
      <c r="D379" t="s">
        <v>93</v>
      </c>
      <c r="E379">
        <v>9</v>
      </c>
      <c r="F379" t="s">
        <v>171</v>
      </c>
      <c r="G379">
        <v>33.93</v>
      </c>
      <c r="H379">
        <v>73</v>
      </c>
      <c r="I379">
        <v>134</v>
      </c>
      <c r="J379">
        <v>374</v>
      </c>
      <c r="K379">
        <v>240</v>
      </c>
    </row>
    <row r="380" spans="1:11" x14ac:dyDescent="0.3">
      <c r="A380">
        <v>2.5</v>
      </c>
      <c r="B380" t="s">
        <v>70</v>
      </c>
      <c r="C380" t="s">
        <v>535</v>
      </c>
      <c r="D380" t="s">
        <v>87</v>
      </c>
      <c r="E380">
        <v>9</v>
      </c>
      <c r="F380" t="s">
        <v>269</v>
      </c>
      <c r="G380">
        <v>4.59</v>
      </c>
      <c r="H380">
        <v>54</v>
      </c>
      <c r="I380">
        <v>199</v>
      </c>
      <c r="J380">
        <v>355</v>
      </c>
      <c r="K380">
        <v>156</v>
      </c>
    </row>
    <row r="381" spans="1:11" x14ac:dyDescent="0.3">
      <c r="A381">
        <v>2.77</v>
      </c>
      <c r="B381" t="s">
        <v>70</v>
      </c>
      <c r="C381" t="s">
        <v>536</v>
      </c>
      <c r="D381" t="s">
        <v>77</v>
      </c>
      <c r="E381">
        <v>9</v>
      </c>
      <c r="F381" t="s">
        <v>78</v>
      </c>
      <c r="G381">
        <v>5.73</v>
      </c>
      <c r="H381">
        <v>36</v>
      </c>
      <c r="I381">
        <v>136</v>
      </c>
      <c r="J381">
        <v>183</v>
      </c>
      <c r="K381">
        <v>47</v>
      </c>
    </row>
    <row r="382" spans="1:11" x14ac:dyDescent="0.3">
      <c r="A382">
        <v>38.83</v>
      </c>
      <c r="B382" t="s">
        <v>70</v>
      </c>
      <c r="C382" t="s">
        <v>537</v>
      </c>
      <c r="D382" t="s">
        <v>90</v>
      </c>
      <c r="E382">
        <v>9</v>
      </c>
      <c r="F382" t="s">
        <v>177</v>
      </c>
      <c r="G382">
        <v>77.260000000000005</v>
      </c>
      <c r="H382">
        <v>57</v>
      </c>
      <c r="I382">
        <v>61</v>
      </c>
      <c r="J382">
        <v>372</v>
      </c>
      <c r="K382">
        <v>311</v>
      </c>
    </row>
    <row r="383" spans="1:11" x14ac:dyDescent="0.3">
      <c r="A383">
        <v>23.36</v>
      </c>
      <c r="B383" t="s">
        <v>70</v>
      </c>
      <c r="C383" t="s">
        <v>538</v>
      </c>
      <c r="D383" t="s">
        <v>93</v>
      </c>
      <c r="E383">
        <v>9</v>
      </c>
      <c r="F383" t="s">
        <v>166</v>
      </c>
      <c r="G383">
        <v>47.81</v>
      </c>
      <c r="H383">
        <v>31</v>
      </c>
      <c r="I383">
        <v>234</v>
      </c>
      <c r="J383">
        <v>300</v>
      </c>
      <c r="K383">
        <v>66</v>
      </c>
    </row>
    <row r="384" spans="1:11" x14ac:dyDescent="0.3">
      <c r="A384">
        <v>9.31</v>
      </c>
      <c r="B384" t="s">
        <v>70</v>
      </c>
      <c r="C384" t="s">
        <v>539</v>
      </c>
      <c r="D384" t="s">
        <v>77</v>
      </c>
      <c r="E384">
        <v>9</v>
      </c>
      <c r="F384" t="s">
        <v>116</v>
      </c>
      <c r="G384">
        <v>17.27</v>
      </c>
      <c r="H384">
        <v>38</v>
      </c>
      <c r="I384">
        <v>176</v>
      </c>
      <c r="J384">
        <v>373</v>
      </c>
      <c r="K384">
        <v>197</v>
      </c>
    </row>
    <row r="385" spans="1:11" x14ac:dyDescent="0.3">
      <c r="A385">
        <v>21.08</v>
      </c>
      <c r="B385" t="s">
        <v>70</v>
      </c>
      <c r="C385" t="s">
        <v>540</v>
      </c>
      <c r="D385" t="s">
        <v>93</v>
      </c>
      <c r="E385">
        <v>9</v>
      </c>
      <c r="F385" t="s">
        <v>252</v>
      </c>
      <c r="G385">
        <v>43.85</v>
      </c>
      <c r="H385">
        <v>11</v>
      </c>
      <c r="I385">
        <v>40</v>
      </c>
      <c r="J385">
        <v>93</v>
      </c>
      <c r="K385">
        <v>53</v>
      </c>
    </row>
    <row r="386" spans="1:11" x14ac:dyDescent="0.3">
      <c r="A386">
        <v>15.95</v>
      </c>
      <c r="B386" t="s">
        <v>70</v>
      </c>
      <c r="C386" t="s">
        <v>541</v>
      </c>
      <c r="D386" t="s">
        <v>80</v>
      </c>
      <c r="E386">
        <v>9</v>
      </c>
      <c r="F386" t="s">
        <v>104</v>
      </c>
      <c r="G386">
        <v>34.299999999999997</v>
      </c>
      <c r="H386">
        <v>66</v>
      </c>
      <c r="I386">
        <v>157</v>
      </c>
      <c r="J386">
        <v>297</v>
      </c>
      <c r="K386">
        <v>140</v>
      </c>
    </row>
    <row r="387" spans="1:11" x14ac:dyDescent="0.3">
      <c r="A387">
        <v>22.56</v>
      </c>
      <c r="B387" t="s">
        <v>70</v>
      </c>
      <c r="C387" t="s">
        <v>542</v>
      </c>
      <c r="D387" t="s">
        <v>90</v>
      </c>
      <c r="E387">
        <v>9</v>
      </c>
      <c r="F387" t="s">
        <v>91</v>
      </c>
      <c r="G387">
        <v>43.91</v>
      </c>
      <c r="H387">
        <v>25</v>
      </c>
      <c r="I387">
        <v>72</v>
      </c>
      <c r="J387">
        <v>159</v>
      </c>
      <c r="K387">
        <v>87</v>
      </c>
    </row>
    <row r="388" spans="1:11" x14ac:dyDescent="0.3">
      <c r="A388">
        <v>11.51</v>
      </c>
      <c r="B388" t="s">
        <v>70</v>
      </c>
      <c r="C388" t="s">
        <v>543</v>
      </c>
      <c r="D388" t="s">
        <v>83</v>
      </c>
      <c r="E388">
        <v>9</v>
      </c>
      <c r="F388" t="s">
        <v>84</v>
      </c>
      <c r="G388">
        <v>19.61</v>
      </c>
      <c r="H388">
        <v>21</v>
      </c>
      <c r="I388">
        <v>97</v>
      </c>
      <c r="J388">
        <v>143</v>
      </c>
      <c r="K388">
        <v>46</v>
      </c>
    </row>
    <row r="389" spans="1:11" x14ac:dyDescent="0.3">
      <c r="A389">
        <v>2.0499999999999998</v>
      </c>
      <c r="B389" t="s">
        <v>70</v>
      </c>
      <c r="C389" t="s">
        <v>544</v>
      </c>
      <c r="D389" t="s">
        <v>77</v>
      </c>
      <c r="E389">
        <v>9</v>
      </c>
      <c r="F389" t="s">
        <v>349</v>
      </c>
      <c r="G389">
        <v>2.68</v>
      </c>
      <c r="H389">
        <v>9</v>
      </c>
      <c r="I389">
        <v>67</v>
      </c>
      <c r="J389">
        <v>88</v>
      </c>
      <c r="K389">
        <v>21</v>
      </c>
    </row>
    <row r="390" spans="1:11" x14ac:dyDescent="0.3">
      <c r="A390">
        <v>5.46</v>
      </c>
      <c r="B390" t="s">
        <v>70</v>
      </c>
      <c r="C390" t="s">
        <v>545</v>
      </c>
      <c r="D390" t="s">
        <v>83</v>
      </c>
      <c r="E390">
        <v>9</v>
      </c>
      <c r="F390" t="s">
        <v>202</v>
      </c>
      <c r="G390">
        <v>10.76</v>
      </c>
      <c r="H390">
        <v>47</v>
      </c>
      <c r="I390">
        <v>237</v>
      </c>
      <c r="J390">
        <v>285</v>
      </c>
      <c r="K390">
        <v>48</v>
      </c>
    </row>
    <row r="391" spans="1:11" x14ac:dyDescent="0.3">
      <c r="A391">
        <v>20.059999999999999</v>
      </c>
      <c r="B391" t="s">
        <v>70</v>
      </c>
      <c r="C391" t="s">
        <v>546</v>
      </c>
      <c r="D391" t="s">
        <v>72</v>
      </c>
      <c r="E391">
        <v>9</v>
      </c>
      <c r="F391" t="s">
        <v>73</v>
      </c>
      <c r="G391">
        <v>40.630000000000003</v>
      </c>
      <c r="H391">
        <v>43</v>
      </c>
      <c r="I391">
        <v>224</v>
      </c>
      <c r="J391">
        <v>313</v>
      </c>
      <c r="K391">
        <v>89</v>
      </c>
    </row>
    <row r="392" spans="1:11" x14ac:dyDescent="0.3">
      <c r="A392">
        <v>8.01</v>
      </c>
      <c r="B392" t="s">
        <v>70</v>
      </c>
      <c r="C392" t="s">
        <v>547</v>
      </c>
      <c r="D392" t="s">
        <v>93</v>
      </c>
      <c r="E392">
        <v>9</v>
      </c>
      <c r="F392" t="s">
        <v>424</v>
      </c>
      <c r="G392">
        <v>10.74</v>
      </c>
      <c r="H392">
        <v>101</v>
      </c>
      <c r="I392">
        <v>245</v>
      </c>
      <c r="J392">
        <v>451</v>
      </c>
      <c r="K392">
        <v>206</v>
      </c>
    </row>
    <row r="393" spans="1:11" x14ac:dyDescent="0.3">
      <c r="A393">
        <v>33.159999999999997</v>
      </c>
      <c r="B393" t="s">
        <v>70</v>
      </c>
      <c r="C393" t="s">
        <v>548</v>
      </c>
      <c r="D393" t="s">
        <v>93</v>
      </c>
      <c r="E393">
        <v>8</v>
      </c>
      <c r="F393" t="s">
        <v>424</v>
      </c>
      <c r="G393">
        <v>65.63</v>
      </c>
      <c r="H393">
        <v>34</v>
      </c>
      <c r="I393">
        <v>40</v>
      </c>
      <c r="J393">
        <v>150</v>
      </c>
      <c r="K393">
        <v>110</v>
      </c>
    </row>
    <row r="394" spans="1:11" x14ac:dyDescent="0.3">
      <c r="A394">
        <v>9.1999999999999993</v>
      </c>
      <c r="B394" t="s">
        <v>70</v>
      </c>
      <c r="C394" t="s">
        <v>549</v>
      </c>
      <c r="D394" t="s">
        <v>72</v>
      </c>
      <c r="E394">
        <v>8</v>
      </c>
      <c r="F394" t="s">
        <v>96</v>
      </c>
      <c r="G394">
        <v>17.899999999999999</v>
      </c>
      <c r="H394">
        <v>49</v>
      </c>
      <c r="I394">
        <v>375</v>
      </c>
      <c r="J394">
        <v>466</v>
      </c>
      <c r="K394">
        <v>91</v>
      </c>
    </row>
    <row r="395" spans="1:11" x14ac:dyDescent="0.3">
      <c r="A395">
        <v>9.3699999999999992</v>
      </c>
      <c r="B395" t="s">
        <v>70</v>
      </c>
      <c r="C395" t="s">
        <v>550</v>
      </c>
      <c r="D395" t="s">
        <v>87</v>
      </c>
      <c r="E395">
        <v>8</v>
      </c>
      <c r="F395" t="s">
        <v>237</v>
      </c>
      <c r="G395">
        <v>19.14</v>
      </c>
      <c r="H395">
        <v>5</v>
      </c>
      <c r="I395">
        <v>10</v>
      </c>
      <c r="J395">
        <v>32</v>
      </c>
      <c r="K395">
        <v>22</v>
      </c>
    </row>
    <row r="396" spans="1:11" x14ac:dyDescent="0.3">
      <c r="A396">
        <v>4.2300000000000004</v>
      </c>
      <c r="B396" t="s">
        <v>70</v>
      </c>
      <c r="C396" t="s">
        <v>551</v>
      </c>
      <c r="D396" t="s">
        <v>72</v>
      </c>
      <c r="E396">
        <v>8</v>
      </c>
      <c r="F396" t="s">
        <v>197</v>
      </c>
      <c r="G396">
        <v>7.16</v>
      </c>
      <c r="H396">
        <v>72</v>
      </c>
      <c r="I396">
        <v>137</v>
      </c>
      <c r="J396">
        <v>454</v>
      </c>
      <c r="K396">
        <v>317</v>
      </c>
    </row>
    <row r="397" spans="1:11" x14ac:dyDescent="0.3">
      <c r="A397">
        <v>5.84</v>
      </c>
      <c r="B397" t="s">
        <v>70</v>
      </c>
      <c r="C397" t="s">
        <v>552</v>
      </c>
      <c r="D397" t="s">
        <v>83</v>
      </c>
      <c r="E397">
        <v>8</v>
      </c>
      <c r="F397" t="s">
        <v>332</v>
      </c>
      <c r="G397">
        <v>12.09</v>
      </c>
      <c r="H397">
        <v>9</v>
      </c>
      <c r="I397">
        <v>14</v>
      </c>
      <c r="J397">
        <v>46</v>
      </c>
      <c r="K397">
        <v>32</v>
      </c>
    </row>
    <row r="398" spans="1:11" x14ac:dyDescent="0.3">
      <c r="A398">
        <v>27.01</v>
      </c>
      <c r="B398" t="s">
        <v>70</v>
      </c>
      <c r="C398" t="s">
        <v>553</v>
      </c>
      <c r="D398" t="s">
        <v>93</v>
      </c>
      <c r="E398">
        <v>8</v>
      </c>
      <c r="F398" t="s">
        <v>171</v>
      </c>
      <c r="G398">
        <v>48.6</v>
      </c>
      <c r="H398">
        <v>38</v>
      </c>
      <c r="I398">
        <v>55</v>
      </c>
      <c r="J398">
        <v>381</v>
      </c>
      <c r="K398">
        <v>326</v>
      </c>
    </row>
    <row r="399" spans="1:11" x14ac:dyDescent="0.3">
      <c r="A399">
        <v>20.97</v>
      </c>
      <c r="B399" t="s">
        <v>70</v>
      </c>
      <c r="C399" t="s">
        <v>554</v>
      </c>
      <c r="D399" t="s">
        <v>130</v>
      </c>
      <c r="E399">
        <v>8</v>
      </c>
      <c r="F399" t="s">
        <v>143</v>
      </c>
      <c r="G399">
        <v>28.82</v>
      </c>
      <c r="H399">
        <v>33</v>
      </c>
      <c r="I399">
        <v>80</v>
      </c>
      <c r="J399">
        <v>156</v>
      </c>
      <c r="K399">
        <v>76</v>
      </c>
    </row>
    <row r="400" spans="1:11" x14ac:dyDescent="0.3">
      <c r="A400">
        <v>77.739999999999995</v>
      </c>
      <c r="B400" t="s">
        <v>70</v>
      </c>
      <c r="C400" t="s">
        <v>555</v>
      </c>
      <c r="D400" t="s">
        <v>90</v>
      </c>
      <c r="E400">
        <v>8</v>
      </c>
      <c r="F400" t="s">
        <v>164</v>
      </c>
      <c r="G400">
        <v>129.41</v>
      </c>
      <c r="H400">
        <v>16</v>
      </c>
      <c r="I400">
        <v>78</v>
      </c>
      <c r="J400">
        <v>153</v>
      </c>
      <c r="K400">
        <v>75</v>
      </c>
    </row>
    <row r="401" spans="1:11" x14ac:dyDescent="0.3">
      <c r="A401">
        <v>9.52</v>
      </c>
      <c r="B401" t="s">
        <v>70</v>
      </c>
      <c r="C401" t="s">
        <v>556</v>
      </c>
      <c r="D401" t="s">
        <v>90</v>
      </c>
      <c r="E401">
        <v>8</v>
      </c>
      <c r="F401" t="s">
        <v>91</v>
      </c>
      <c r="G401">
        <v>13.38</v>
      </c>
      <c r="H401">
        <v>71</v>
      </c>
      <c r="I401">
        <v>229</v>
      </c>
      <c r="J401">
        <v>434</v>
      </c>
      <c r="K401">
        <v>205</v>
      </c>
    </row>
    <row r="402" spans="1:11" x14ac:dyDescent="0.3">
      <c r="A402">
        <v>4.47</v>
      </c>
      <c r="B402" t="s">
        <v>70</v>
      </c>
      <c r="C402" t="s">
        <v>557</v>
      </c>
      <c r="D402" t="s">
        <v>93</v>
      </c>
      <c r="E402">
        <v>8</v>
      </c>
      <c r="F402" t="s">
        <v>156</v>
      </c>
      <c r="G402">
        <v>9.16</v>
      </c>
      <c r="H402">
        <v>14</v>
      </c>
      <c r="I402">
        <v>41</v>
      </c>
      <c r="J402">
        <v>73</v>
      </c>
      <c r="K402">
        <v>32</v>
      </c>
    </row>
    <row r="403" spans="1:11" x14ac:dyDescent="0.3">
      <c r="A403">
        <v>9.8800000000000008</v>
      </c>
      <c r="B403" t="s">
        <v>70</v>
      </c>
      <c r="C403" t="s">
        <v>558</v>
      </c>
      <c r="D403" t="s">
        <v>77</v>
      </c>
      <c r="E403">
        <v>8</v>
      </c>
      <c r="F403" t="s">
        <v>180</v>
      </c>
      <c r="G403">
        <v>15.47</v>
      </c>
      <c r="H403">
        <v>60</v>
      </c>
      <c r="I403">
        <v>123</v>
      </c>
      <c r="J403">
        <v>277</v>
      </c>
      <c r="K403">
        <v>154</v>
      </c>
    </row>
    <row r="404" spans="1:11" x14ac:dyDescent="0.3">
      <c r="A404">
        <v>2.21</v>
      </c>
      <c r="B404" t="s">
        <v>70</v>
      </c>
      <c r="C404" t="s">
        <v>559</v>
      </c>
      <c r="D404" t="s">
        <v>130</v>
      </c>
      <c r="E404">
        <v>8</v>
      </c>
      <c r="F404" t="s">
        <v>214</v>
      </c>
      <c r="G404">
        <v>4.6900000000000004</v>
      </c>
      <c r="H404">
        <v>67</v>
      </c>
      <c r="I404">
        <v>312</v>
      </c>
      <c r="J404">
        <v>400</v>
      </c>
      <c r="K404">
        <v>88</v>
      </c>
    </row>
    <row r="405" spans="1:11" x14ac:dyDescent="0.3">
      <c r="A405">
        <v>4.1100000000000003</v>
      </c>
      <c r="B405" t="s">
        <v>70</v>
      </c>
      <c r="C405" t="s">
        <v>560</v>
      </c>
      <c r="D405" t="s">
        <v>90</v>
      </c>
      <c r="E405">
        <v>8</v>
      </c>
      <c r="F405" t="s">
        <v>472</v>
      </c>
      <c r="G405">
        <v>5.92</v>
      </c>
      <c r="H405">
        <v>41</v>
      </c>
      <c r="I405">
        <v>152</v>
      </c>
      <c r="J405">
        <v>194</v>
      </c>
      <c r="K405">
        <v>42</v>
      </c>
    </row>
    <row r="406" spans="1:11" x14ac:dyDescent="0.3">
      <c r="A406">
        <v>21.84</v>
      </c>
      <c r="B406" t="s">
        <v>70</v>
      </c>
      <c r="C406" t="s">
        <v>561</v>
      </c>
      <c r="D406" t="s">
        <v>93</v>
      </c>
      <c r="E406">
        <v>8</v>
      </c>
      <c r="F406" t="s">
        <v>108</v>
      </c>
      <c r="G406">
        <v>30.35</v>
      </c>
      <c r="H406">
        <v>65</v>
      </c>
      <c r="I406">
        <v>432</v>
      </c>
      <c r="J406">
        <v>490</v>
      </c>
      <c r="K406">
        <v>58</v>
      </c>
    </row>
    <row r="407" spans="1:11" x14ac:dyDescent="0.3">
      <c r="A407">
        <v>17.14</v>
      </c>
      <c r="B407" t="s">
        <v>70</v>
      </c>
      <c r="C407" t="s">
        <v>562</v>
      </c>
      <c r="D407" t="s">
        <v>80</v>
      </c>
      <c r="E407">
        <v>8</v>
      </c>
      <c r="F407" t="s">
        <v>98</v>
      </c>
      <c r="G407">
        <v>30.32</v>
      </c>
      <c r="H407">
        <v>39</v>
      </c>
      <c r="I407">
        <v>215</v>
      </c>
      <c r="J407">
        <v>300</v>
      </c>
      <c r="K407">
        <v>85</v>
      </c>
    </row>
    <row r="408" spans="1:11" x14ac:dyDescent="0.3">
      <c r="A408">
        <v>16.940000000000001</v>
      </c>
      <c r="B408" t="s">
        <v>70</v>
      </c>
      <c r="C408" t="s">
        <v>563</v>
      </c>
      <c r="D408" t="s">
        <v>80</v>
      </c>
      <c r="E408">
        <v>8</v>
      </c>
      <c r="F408" t="s">
        <v>98</v>
      </c>
      <c r="G408">
        <v>22.83</v>
      </c>
      <c r="H408">
        <v>97</v>
      </c>
      <c r="I408">
        <v>393</v>
      </c>
      <c r="J408">
        <v>460</v>
      </c>
      <c r="K408">
        <v>67</v>
      </c>
    </row>
    <row r="409" spans="1:11" x14ac:dyDescent="0.3">
      <c r="A409">
        <v>8.16</v>
      </c>
      <c r="B409" t="s">
        <v>70</v>
      </c>
      <c r="C409" t="s">
        <v>564</v>
      </c>
      <c r="D409" t="s">
        <v>77</v>
      </c>
      <c r="E409">
        <v>8</v>
      </c>
      <c r="F409" t="s">
        <v>140</v>
      </c>
      <c r="G409">
        <v>10.72</v>
      </c>
      <c r="H409">
        <v>41</v>
      </c>
      <c r="I409">
        <v>210</v>
      </c>
      <c r="J409">
        <v>326</v>
      </c>
      <c r="K409">
        <v>116</v>
      </c>
    </row>
    <row r="410" spans="1:11" x14ac:dyDescent="0.3">
      <c r="A410">
        <v>6.61</v>
      </c>
      <c r="B410" t="s">
        <v>70</v>
      </c>
      <c r="C410" t="s">
        <v>565</v>
      </c>
      <c r="D410" t="s">
        <v>80</v>
      </c>
      <c r="E410">
        <v>8</v>
      </c>
      <c r="F410" t="s">
        <v>106</v>
      </c>
      <c r="G410">
        <v>12.49</v>
      </c>
      <c r="H410">
        <v>71</v>
      </c>
      <c r="I410">
        <v>80</v>
      </c>
      <c r="J410">
        <v>383</v>
      </c>
      <c r="K410">
        <v>303</v>
      </c>
    </row>
    <row r="411" spans="1:11" x14ac:dyDescent="0.3">
      <c r="A411">
        <v>17.350000000000001</v>
      </c>
      <c r="B411" t="s">
        <v>70</v>
      </c>
      <c r="C411" t="s">
        <v>566</v>
      </c>
      <c r="D411" t="s">
        <v>72</v>
      </c>
      <c r="E411">
        <v>8</v>
      </c>
      <c r="F411" t="s">
        <v>463</v>
      </c>
      <c r="G411">
        <v>25.05</v>
      </c>
      <c r="H411">
        <v>16</v>
      </c>
      <c r="I411">
        <v>22</v>
      </c>
      <c r="J411">
        <v>147</v>
      </c>
      <c r="K411">
        <v>125</v>
      </c>
    </row>
    <row r="412" spans="1:11" x14ac:dyDescent="0.3">
      <c r="A412">
        <v>14.3</v>
      </c>
      <c r="B412" t="s">
        <v>70</v>
      </c>
      <c r="C412" t="s">
        <v>567</v>
      </c>
      <c r="D412" t="s">
        <v>87</v>
      </c>
      <c r="E412">
        <v>8</v>
      </c>
      <c r="F412" t="s">
        <v>337</v>
      </c>
      <c r="G412">
        <v>19.11</v>
      </c>
      <c r="H412">
        <v>73</v>
      </c>
      <c r="I412">
        <v>96</v>
      </c>
      <c r="J412">
        <v>418</v>
      </c>
      <c r="K412">
        <v>322</v>
      </c>
    </row>
    <row r="413" spans="1:11" x14ac:dyDescent="0.3">
      <c r="A413">
        <v>12.8</v>
      </c>
      <c r="B413" t="s">
        <v>70</v>
      </c>
      <c r="C413" t="s">
        <v>568</v>
      </c>
      <c r="D413" t="s">
        <v>93</v>
      </c>
      <c r="E413">
        <v>8</v>
      </c>
      <c r="F413" t="s">
        <v>424</v>
      </c>
      <c r="G413">
        <v>21.71</v>
      </c>
      <c r="H413">
        <v>83</v>
      </c>
      <c r="I413">
        <v>340</v>
      </c>
      <c r="J413">
        <v>382</v>
      </c>
      <c r="K413">
        <v>42</v>
      </c>
    </row>
    <row r="414" spans="1:11" x14ac:dyDescent="0.3">
      <c r="A414">
        <v>6.22</v>
      </c>
      <c r="B414" t="s">
        <v>70</v>
      </c>
      <c r="C414" t="s">
        <v>569</v>
      </c>
      <c r="D414" t="s">
        <v>77</v>
      </c>
      <c r="E414">
        <v>8</v>
      </c>
      <c r="F414" t="s">
        <v>262</v>
      </c>
      <c r="G414">
        <v>12.75</v>
      </c>
      <c r="H414">
        <v>60</v>
      </c>
      <c r="I414">
        <v>112</v>
      </c>
      <c r="J414">
        <v>271</v>
      </c>
      <c r="K414">
        <v>159</v>
      </c>
    </row>
    <row r="415" spans="1:11" x14ac:dyDescent="0.3">
      <c r="A415">
        <v>24.98</v>
      </c>
      <c r="B415" t="s">
        <v>70</v>
      </c>
      <c r="C415" t="s">
        <v>570</v>
      </c>
      <c r="D415" t="s">
        <v>93</v>
      </c>
      <c r="E415">
        <v>8</v>
      </c>
      <c r="F415" t="s">
        <v>125</v>
      </c>
      <c r="G415">
        <v>32.72</v>
      </c>
      <c r="H415">
        <v>85</v>
      </c>
      <c r="I415">
        <v>312</v>
      </c>
      <c r="J415">
        <v>387</v>
      </c>
      <c r="K415">
        <v>75</v>
      </c>
    </row>
    <row r="416" spans="1:11" x14ac:dyDescent="0.3">
      <c r="A416">
        <v>20.079999999999998</v>
      </c>
      <c r="B416" t="s">
        <v>70</v>
      </c>
      <c r="C416" t="s">
        <v>571</v>
      </c>
      <c r="D416" t="s">
        <v>90</v>
      </c>
      <c r="E416">
        <v>8</v>
      </c>
      <c r="F416" t="s">
        <v>127</v>
      </c>
      <c r="G416">
        <v>40.9</v>
      </c>
      <c r="H416">
        <v>14</v>
      </c>
      <c r="I416">
        <v>15</v>
      </c>
      <c r="J416">
        <v>69</v>
      </c>
      <c r="K416">
        <v>54</v>
      </c>
    </row>
    <row r="417" spans="1:11" x14ac:dyDescent="0.3">
      <c r="A417">
        <v>28.78</v>
      </c>
      <c r="B417" t="s">
        <v>70</v>
      </c>
      <c r="C417" t="s">
        <v>572</v>
      </c>
      <c r="D417" t="s">
        <v>93</v>
      </c>
      <c r="E417">
        <v>8</v>
      </c>
      <c r="F417" t="s">
        <v>94</v>
      </c>
      <c r="G417">
        <v>47.33</v>
      </c>
      <c r="H417">
        <v>15</v>
      </c>
      <c r="I417">
        <v>30</v>
      </c>
      <c r="J417">
        <v>74</v>
      </c>
      <c r="K417">
        <v>44</v>
      </c>
    </row>
    <row r="418" spans="1:11" x14ac:dyDescent="0.3">
      <c r="A418">
        <v>5.19</v>
      </c>
      <c r="B418" t="s">
        <v>70</v>
      </c>
      <c r="C418" t="s">
        <v>573</v>
      </c>
      <c r="D418" t="s">
        <v>83</v>
      </c>
      <c r="E418">
        <v>8</v>
      </c>
      <c r="F418" t="s">
        <v>202</v>
      </c>
      <c r="G418">
        <v>9.69</v>
      </c>
      <c r="H418">
        <v>69</v>
      </c>
      <c r="I418">
        <v>242</v>
      </c>
      <c r="J418">
        <v>447</v>
      </c>
      <c r="K418">
        <v>205</v>
      </c>
    </row>
    <row r="419" spans="1:11" x14ac:dyDescent="0.3">
      <c r="A419">
        <v>0.83</v>
      </c>
      <c r="B419" t="s">
        <v>70</v>
      </c>
      <c r="C419" t="s">
        <v>574</v>
      </c>
      <c r="D419" t="s">
        <v>83</v>
      </c>
      <c r="E419">
        <v>8</v>
      </c>
      <c r="F419" t="s">
        <v>305</v>
      </c>
      <c r="G419">
        <v>1.74</v>
      </c>
      <c r="H419">
        <v>55</v>
      </c>
      <c r="I419">
        <v>65</v>
      </c>
      <c r="J419">
        <v>373</v>
      </c>
      <c r="K419">
        <v>308</v>
      </c>
    </row>
    <row r="420" spans="1:11" x14ac:dyDescent="0.3">
      <c r="A420">
        <v>0.77</v>
      </c>
      <c r="B420" t="s">
        <v>70</v>
      </c>
      <c r="C420" t="s">
        <v>575</v>
      </c>
      <c r="D420" t="s">
        <v>83</v>
      </c>
      <c r="E420">
        <v>8</v>
      </c>
      <c r="F420" t="s">
        <v>210</v>
      </c>
      <c r="G420">
        <v>1.36</v>
      </c>
      <c r="H420">
        <v>86</v>
      </c>
      <c r="I420">
        <v>117</v>
      </c>
      <c r="J420">
        <v>352</v>
      </c>
      <c r="K420">
        <v>235</v>
      </c>
    </row>
    <row r="421" spans="1:11" x14ac:dyDescent="0.3">
      <c r="A421">
        <v>23.28</v>
      </c>
      <c r="B421" t="s">
        <v>70</v>
      </c>
      <c r="C421" t="s">
        <v>576</v>
      </c>
      <c r="D421" t="s">
        <v>72</v>
      </c>
      <c r="E421">
        <v>8</v>
      </c>
      <c r="F421" t="s">
        <v>96</v>
      </c>
      <c r="G421">
        <v>47.3</v>
      </c>
      <c r="H421">
        <v>28</v>
      </c>
      <c r="I421">
        <v>97</v>
      </c>
      <c r="J421">
        <v>132</v>
      </c>
      <c r="K421">
        <v>35</v>
      </c>
    </row>
    <row r="422" spans="1:11" x14ac:dyDescent="0.3">
      <c r="A422">
        <v>37</v>
      </c>
      <c r="B422" t="s">
        <v>70</v>
      </c>
      <c r="C422" t="s">
        <v>577</v>
      </c>
      <c r="D422" t="s">
        <v>90</v>
      </c>
      <c r="E422">
        <v>8</v>
      </c>
      <c r="F422" t="s">
        <v>177</v>
      </c>
      <c r="G422">
        <v>55.01</v>
      </c>
      <c r="H422">
        <v>20</v>
      </c>
      <c r="I422">
        <v>38</v>
      </c>
      <c r="J422">
        <v>102</v>
      </c>
      <c r="K422">
        <v>64</v>
      </c>
    </row>
    <row r="423" spans="1:11" x14ac:dyDescent="0.3">
      <c r="A423">
        <v>4.51</v>
      </c>
      <c r="B423" t="s">
        <v>70</v>
      </c>
      <c r="C423" t="s">
        <v>578</v>
      </c>
      <c r="D423" t="s">
        <v>87</v>
      </c>
      <c r="E423">
        <v>8</v>
      </c>
      <c r="F423" t="s">
        <v>122</v>
      </c>
      <c r="G423">
        <v>8.83</v>
      </c>
      <c r="H423">
        <v>56</v>
      </c>
      <c r="I423">
        <v>144</v>
      </c>
      <c r="J423">
        <v>390</v>
      </c>
      <c r="K423">
        <v>246</v>
      </c>
    </row>
    <row r="424" spans="1:11" x14ac:dyDescent="0.3">
      <c r="A424">
        <v>23.54</v>
      </c>
      <c r="B424" t="s">
        <v>70</v>
      </c>
      <c r="C424" t="s">
        <v>579</v>
      </c>
      <c r="D424" t="s">
        <v>72</v>
      </c>
      <c r="E424">
        <v>8</v>
      </c>
      <c r="F424" t="s">
        <v>118</v>
      </c>
      <c r="G424">
        <v>34.9</v>
      </c>
      <c r="H424">
        <v>100</v>
      </c>
      <c r="I424">
        <v>112</v>
      </c>
      <c r="J424">
        <v>411</v>
      </c>
      <c r="K424">
        <v>299</v>
      </c>
    </row>
    <row r="425" spans="1:11" x14ac:dyDescent="0.3">
      <c r="A425">
        <v>26.41</v>
      </c>
      <c r="B425" t="s">
        <v>70</v>
      </c>
      <c r="C425" t="s">
        <v>580</v>
      </c>
      <c r="D425" t="s">
        <v>130</v>
      </c>
      <c r="E425">
        <v>8</v>
      </c>
      <c r="F425" t="s">
        <v>299</v>
      </c>
      <c r="G425">
        <v>44.58</v>
      </c>
      <c r="H425">
        <v>25</v>
      </c>
      <c r="I425">
        <v>92</v>
      </c>
      <c r="J425">
        <v>208</v>
      </c>
      <c r="K425">
        <v>116</v>
      </c>
    </row>
    <row r="426" spans="1:11" x14ac:dyDescent="0.3">
      <c r="A426">
        <v>73.819999999999993</v>
      </c>
      <c r="B426" t="s">
        <v>70</v>
      </c>
      <c r="C426" t="s">
        <v>581</v>
      </c>
      <c r="D426" t="s">
        <v>90</v>
      </c>
      <c r="E426">
        <v>8</v>
      </c>
      <c r="F426" t="s">
        <v>219</v>
      </c>
      <c r="G426">
        <v>152.66</v>
      </c>
      <c r="H426">
        <v>8</v>
      </c>
      <c r="I426">
        <v>28</v>
      </c>
      <c r="J426">
        <v>48</v>
      </c>
      <c r="K426">
        <v>20</v>
      </c>
    </row>
    <row r="427" spans="1:11" x14ac:dyDescent="0.3">
      <c r="A427">
        <v>7.73</v>
      </c>
      <c r="B427" t="s">
        <v>70</v>
      </c>
      <c r="C427" t="s">
        <v>582</v>
      </c>
      <c r="D427" t="s">
        <v>77</v>
      </c>
      <c r="E427">
        <v>8</v>
      </c>
      <c r="F427" t="s">
        <v>78</v>
      </c>
      <c r="G427">
        <v>12.75</v>
      </c>
      <c r="H427">
        <v>29</v>
      </c>
      <c r="I427">
        <v>165</v>
      </c>
      <c r="J427">
        <v>236</v>
      </c>
      <c r="K427">
        <v>71</v>
      </c>
    </row>
    <row r="428" spans="1:11" x14ac:dyDescent="0.3">
      <c r="A428">
        <v>63.35</v>
      </c>
      <c r="B428" t="s">
        <v>70</v>
      </c>
      <c r="C428" t="s">
        <v>583</v>
      </c>
      <c r="D428" t="s">
        <v>90</v>
      </c>
      <c r="E428">
        <v>8</v>
      </c>
      <c r="F428" t="s">
        <v>352</v>
      </c>
      <c r="G428">
        <v>86.82</v>
      </c>
      <c r="H428">
        <v>37</v>
      </c>
      <c r="I428">
        <v>57</v>
      </c>
      <c r="J428">
        <v>164</v>
      </c>
      <c r="K428">
        <v>107</v>
      </c>
    </row>
    <row r="429" spans="1:11" x14ac:dyDescent="0.3">
      <c r="A429">
        <v>18.489999999999998</v>
      </c>
      <c r="B429" t="s">
        <v>70</v>
      </c>
      <c r="C429" t="s">
        <v>584</v>
      </c>
      <c r="D429" t="s">
        <v>130</v>
      </c>
      <c r="E429">
        <v>8</v>
      </c>
      <c r="F429" t="s">
        <v>290</v>
      </c>
      <c r="G429">
        <v>34.520000000000003</v>
      </c>
      <c r="H429">
        <v>40</v>
      </c>
      <c r="I429">
        <v>107</v>
      </c>
      <c r="J429">
        <v>374</v>
      </c>
      <c r="K429">
        <v>267</v>
      </c>
    </row>
    <row r="430" spans="1:11" x14ac:dyDescent="0.3">
      <c r="A430">
        <v>19.440000000000001</v>
      </c>
      <c r="B430" t="s">
        <v>70</v>
      </c>
      <c r="C430" t="s">
        <v>585</v>
      </c>
      <c r="D430" t="s">
        <v>93</v>
      </c>
      <c r="E430">
        <v>8</v>
      </c>
      <c r="F430" t="s">
        <v>108</v>
      </c>
      <c r="G430">
        <v>37.51</v>
      </c>
      <c r="H430">
        <v>9</v>
      </c>
      <c r="I430">
        <v>17</v>
      </c>
      <c r="J430">
        <v>49</v>
      </c>
      <c r="K430">
        <v>32</v>
      </c>
    </row>
    <row r="431" spans="1:11" x14ac:dyDescent="0.3">
      <c r="A431">
        <v>17.5</v>
      </c>
      <c r="B431" t="s">
        <v>70</v>
      </c>
      <c r="C431" t="s">
        <v>586</v>
      </c>
      <c r="D431" t="s">
        <v>130</v>
      </c>
      <c r="E431">
        <v>8</v>
      </c>
      <c r="F431" t="s">
        <v>173</v>
      </c>
      <c r="G431">
        <v>35.590000000000003</v>
      </c>
      <c r="H431">
        <v>14</v>
      </c>
      <c r="I431">
        <v>60</v>
      </c>
      <c r="J431">
        <v>72</v>
      </c>
      <c r="K431">
        <v>12</v>
      </c>
    </row>
    <row r="432" spans="1:11" x14ac:dyDescent="0.3">
      <c r="A432">
        <v>7.19</v>
      </c>
      <c r="B432" t="s">
        <v>70</v>
      </c>
      <c r="C432" t="s">
        <v>587</v>
      </c>
      <c r="D432" t="s">
        <v>83</v>
      </c>
      <c r="E432">
        <v>8</v>
      </c>
      <c r="F432" t="s">
        <v>307</v>
      </c>
      <c r="G432">
        <v>11.99</v>
      </c>
      <c r="H432">
        <v>54</v>
      </c>
      <c r="I432">
        <v>62</v>
      </c>
      <c r="J432">
        <v>389</v>
      </c>
      <c r="K432">
        <v>327</v>
      </c>
    </row>
    <row r="433" spans="1:11" x14ac:dyDescent="0.3">
      <c r="A433">
        <v>11.82</v>
      </c>
      <c r="B433" t="s">
        <v>70</v>
      </c>
      <c r="C433" t="s">
        <v>588</v>
      </c>
      <c r="D433" t="s">
        <v>83</v>
      </c>
      <c r="E433">
        <v>8</v>
      </c>
      <c r="F433" t="s">
        <v>202</v>
      </c>
      <c r="G433">
        <v>17.93</v>
      </c>
      <c r="H433">
        <v>18</v>
      </c>
      <c r="I433">
        <v>58</v>
      </c>
      <c r="J433">
        <v>85</v>
      </c>
      <c r="K433">
        <v>27</v>
      </c>
    </row>
    <row r="434" spans="1:11" x14ac:dyDescent="0.3">
      <c r="A434">
        <v>10.57</v>
      </c>
      <c r="B434" t="s">
        <v>70</v>
      </c>
      <c r="C434" t="s">
        <v>589</v>
      </c>
      <c r="D434" t="s">
        <v>80</v>
      </c>
      <c r="E434">
        <v>8</v>
      </c>
      <c r="F434" t="s">
        <v>104</v>
      </c>
      <c r="G434">
        <v>14.35</v>
      </c>
      <c r="H434">
        <v>77</v>
      </c>
      <c r="I434">
        <v>213</v>
      </c>
      <c r="J434">
        <v>435</v>
      </c>
      <c r="K434">
        <v>222</v>
      </c>
    </row>
    <row r="435" spans="1:11" x14ac:dyDescent="0.3">
      <c r="A435">
        <v>1.08</v>
      </c>
      <c r="B435" t="s">
        <v>70</v>
      </c>
      <c r="C435" t="s">
        <v>590</v>
      </c>
      <c r="D435" t="s">
        <v>83</v>
      </c>
      <c r="E435">
        <v>8</v>
      </c>
      <c r="F435" t="s">
        <v>332</v>
      </c>
      <c r="G435">
        <v>1.91</v>
      </c>
      <c r="H435">
        <v>25</v>
      </c>
      <c r="I435">
        <v>74</v>
      </c>
      <c r="J435">
        <v>207</v>
      </c>
      <c r="K435">
        <v>133</v>
      </c>
    </row>
    <row r="436" spans="1:11" x14ac:dyDescent="0.3">
      <c r="A436">
        <v>2.52</v>
      </c>
      <c r="B436" t="s">
        <v>70</v>
      </c>
      <c r="C436" t="s">
        <v>591</v>
      </c>
      <c r="D436" t="s">
        <v>77</v>
      </c>
      <c r="E436">
        <v>8</v>
      </c>
      <c r="F436" t="s">
        <v>262</v>
      </c>
      <c r="G436">
        <v>4.3499999999999996</v>
      </c>
      <c r="H436">
        <v>24</v>
      </c>
      <c r="I436">
        <v>80</v>
      </c>
      <c r="J436">
        <v>148</v>
      </c>
      <c r="K436">
        <v>68</v>
      </c>
    </row>
    <row r="437" spans="1:11" x14ac:dyDescent="0.3">
      <c r="A437">
        <v>20.92</v>
      </c>
      <c r="B437" t="s">
        <v>70</v>
      </c>
      <c r="C437" t="s">
        <v>592</v>
      </c>
      <c r="D437" t="s">
        <v>72</v>
      </c>
      <c r="E437">
        <v>8</v>
      </c>
      <c r="F437" t="s">
        <v>102</v>
      </c>
      <c r="G437">
        <v>36.799999999999997</v>
      </c>
      <c r="H437">
        <v>32</v>
      </c>
      <c r="I437">
        <v>48</v>
      </c>
      <c r="J437">
        <v>240</v>
      </c>
      <c r="K437">
        <v>192</v>
      </c>
    </row>
    <row r="438" spans="1:11" x14ac:dyDescent="0.3">
      <c r="A438">
        <v>19.13</v>
      </c>
      <c r="B438" t="s">
        <v>70</v>
      </c>
      <c r="C438" t="s">
        <v>593</v>
      </c>
      <c r="D438" t="s">
        <v>80</v>
      </c>
      <c r="E438">
        <v>8</v>
      </c>
      <c r="F438" t="s">
        <v>136</v>
      </c>
      <c r="G438">
        <v>34.11</v>
      </c>
      <c r="H438">
        <v>69</v>
      </c>
      <c r="I438">
        <v>83</v>
      </c>
      <c r="J438">
        <v>342</v>
      </c>
      <c r="K438">
        <v>259</v>
      </c>
    </row>
    <row r="439" spans="1:11" x14ac:dyDescent="0.3">
      <c r="A439">
        <v>3.3</v>
      </c>
      <c r="B439" t="s">
        <v>70</v>
      </c>
      <c r="C439" t="s">
        <v>594</v>
      </c>
      <c r="D439" t="s">
        <v>77</v>
      </c>
      <c r="E439">
        <v>8</v>
      </c>
      <c r="F439" t="s">
        <v>446</v>
      </c>
      <c r="G439">
        <v>6.45</v>
      </c>
      <c r="H439">
        <v>23</v>
      </c>
      <c r="I439">
        <v>52</v>
      </c>
      <c r="J439">
        <v>167</v>
      </c>
      <c r="K439">
        <v>115</v>
      </c>
    </row>
    <row r="440" spans="1:11" x14ac:dyDescent="0.3">
      <c r="A440">
        <v>10.99</v>
      </c>
      <c r="B440" t="s">
        <v>70</v>
      </c>
      <c r="C440" t="s">
        <v>595</v>
      </c>
      <c r="D440" t="s">
        <v>77</v>
      </c>
      <c r="E440">
        <v>8</v>
      </c>
      <c r="F440" t="s">
        <v>140</v>
      </c>
      <c r="G440">
        <v>17.55</v>
      </c>
      <c r="H440">
        <v>96</v>
      </c>
      <c r="I440">
        <v>369</v>
      </c>
      <c r="J440">
        <v>442</v>
      </c>
      <c r="K440">
        <v>73</v>
      </c>
    </row>
    <row r="441" spans="1:11" x14ac:dyDescent="0.3">
      <c r="A441">
        <v>16.82</v>
      </c>
      <c r="B441" t="s">
        <v>70</v>
      </c>
      <c r="C441" t="s">
        <v>596</v>
      </c>
      <c r="D441" t="s">
        <v>87</v>
      </c>
      <c r="E441">
        <v>8</v>
      </c>
      <c r="F441" t="s">
        <v>237</v>
      </c>
      <c r="G441">
        <v>28.96</v>
      </c>
      <c r="H441">
        <v>29</v>
      </c>
      <c r="I441">
        <v>50</v>
      </c>
      <c r="J441">
        <v>162</v>
      </c>
      <c r="K441">
        <v>112</v>
      </c>
    </row>
    <row r="442" spans="1:11" x14ac:dyDescent="0.3">
      <c r="A442">
        <v>13.94</v>
      </c>
      <c r="B442" t="s">
        <v>70</v>
      </c>
      <c r="C442" t="s">
        <v>597</v>
      </c>
      <c r="D442" t="s">
        <v>83</v>
      </c>
      <c r="E442">
        <v>8</v>
      </c>
      <c r="F442" t="s">
        <v>202</v>
      </c>
      <c r="G442">
        <v>22.45</v>
      </c>
      <c r="H442">
        <v>48</v>
      </c>
      <c r="I442">
        <v>149</v>
      </c>
      <c r="J442">
        <v>201</v>
      </c>
      <c r="K442">
        <v>52</v>
      </c>
    </row>
    <row r="443" spans="1:11" x14ac:dyDescent="0.3">
      <c r="A443">
        <v>4.3499999999999996</v>
      </c>
      <c r="B443" t="s">
        <v>70</v>
      </c>
      <c r="C443" t="s">
        <v>598</v>
      </c>
      <c r="D443" t="s">
        <v>77</v>
      </c>
      <c r="E443">
        <v>8</v>
      </c>
      <c r="F443" t="s">
        <v>78</v>
      </c>
      <c r="G443">
        <v>8.85</v>
      </c>
      <c r="H443">
        <v>35</v>
      </c>
      <c r="I443">
        <v>168</v>
      </c>
      <c r="J443">
        <v>274</v>
      </c>
      <c r="K443">
        <v>106</v>
      </c>
    </row>
    <row r="444" spans="1:11" x14ac:dyDescent="0.3">
      <c r="A444">
        <v>22.57</v>
      </c>
      <c r="B444" t="s">
        <v>70</v>
      </c>
      <c r="C444" t="s">
        <v>599</v>
      </c>
      <c r="D444" t="s">
        <v>87</v>
      </c>
      <c r="E444">
        <v>8</v>
      </c>
      <c r="F444" t="s">
        <v>303</v>
      </c>
      <c r="G444">
        <v>32.29</v>
      </c>
      <c r="H444">
        <v>107</v>
      </c>
      <c r="I444">
        <v>119</v>
      </c>
      <c r="J444">
        <v>455</v>
      </c>
      <c r="K444">
        <v>336</v>
      </c>
    </row>
    <row r="445" spans="1:11" x14ac:dyDescent="0.3">
      <c r="A445">
        <v>23.94</v>
      </c>
      <c r="B445" t="s">
        <v>70</v>
      </c>
      <c r="C445" t="s">
        <v>600</v>
      </c>
      <c r="D445" t="s">
        <v>93</v>
      </c>
      <c r="E445">
        <v>8</v>
      </c>
      <c r="F445" t="s">
        <v>166</v>
      </c>
      <c r="G445">
        <v>36.049999999999997</v>
      </c>
      <c r="H445">
        <v>6</v>
      </c>
      <c r="I445">
        <v>21</v>
      </c>
      <c r="J445">
        <v>31</v>
      </c>
      <c r="K445">
        <v>10</v>
      </c>
    </row>
    <row r="446" spans="1:11" x14ac:dyDescent="0.3">
      <c r="A446">
        <v>24.53</v>
      </c>
      <c r="B446" t="s">
        <v>70</v>
      </c>
      <c r="C446" t="s">
        <v>601</v>
      </c>
      <c r="D446" t="s">
        <v>72</v>
      </c>
      <c r="E446">
        <v>8</v>
      </c>
      <c r="F446" t="s">
        <v>96</v>
      </c>
      <c r="G446">
        <v>47.05</v>
      </c>
      <c r="H446">
        <v>18</v>
      </c>
      <c r="I446">
        <v>29</v>
      </c>
      <c r="J446">
        <v>118</v>
      </c>
      <c r="K446">
        <v>89</v>
      </c>
    </row>
    <row r="447" spans="1:11" x14ac:dyDescent="0.3">
      <c r="A447">
        <v>2.65</v>
      </c>
      <c r="B447" t="s">
        <v>70</v>
      </c>
      <c r="C447" t="s">
        <v>602</v>
      </c>
      <c r="D447" t="s">
        <v>83</v>
      </c>
      <c r="E447">
        <v>8</v>
      </c>
      <c r="F447" t="s">
        <v>84</v>
      </c>
      <c r="G447">
        <v>3.95</v>
      </c>
      <c r="H447">
        <v>105</v>
      </c>
      <c r="I447">
        <v>342</v>
      </c>
      <c r="J447">
        <v>462</v>
      </c>
      <c r="K447">
        <v>120</v>
      </c>
    </row>
    <row r="448" spans="1:11" x14ac:dyDescent="0.3">
      <c r="A448">
        <v>7.94</v>
      </c>
      <c r="B448" t="s">
        <v>70</v>
      </c>
      <c r="C448" t="s">
        <v>603</v>
      </c>
      <c r="D448" t="s">
        <v>72</v>
      </c>
      <c r="E448">
        <v>8</v>
      </c>
      <c r="F448" t="s">
        <v>463</v>
      </c>
      <c r="G448">
        <v>17.39</v>
      </c>
      <c r="H448">
        <v>35</v>
      </c>
      <c r="I448">
        <v>134</v>
      </c>
      <c r="J448">
        <v>162</v>
      </c>
      <c r="K448">
        <v>28</v>
      </c>
    </row>
    <row r="449" spans="1:11" x14ac:dyDescent="0.3">
      <c r="A449">
        <v>8.0500000000000007</v>
      </c>
      <c r="B449" t="s">
        <v>70</v>
      </c>
      <c r="C449" t="s">
        <v>604</v>
      </c>
      <c r="D449" t="s">
        <v>72</v>
      </c>
      <c r="E449">
        <v>8</v>
      </c>
      <c r="F449" t="s">
        <v>73</v>
      </c>
      <c r="G449">
        <v>10.7</v>
      </c>
      <c r="H449">
        <v>68</v>
      </c>
      <c r="I449">
        <v>251</v>
      </c>
      <c r="J449">
        <v>288</v>
      </c>
      <c r="K449">
        <v>37</v>
      </c>
    </row>
    <row r="450" spans="1:11" x14ac:dyDescent="0.3">
      <c r="A450">
        <v>17.53</v>
      </c>
      <c r="B450" t="s">
        <v>70</v>
      </c>
      <c r="C450" t="s">
        <v>605</v>
      </c>
      <c r="D450" t="s">
        <v>80</v>
      </c>
      <c r="E450">
        <v>8</v>
      </c>
      <c r="F450" t="s">
        <v>98</v>
      </c>
      <c r="G450">
        <v>35.6</v>
      </c>
      <c r="H450">
        <v>27</v>
      </c>
      <c r="I450">
        <v>82</v>
      </c>
      <c r="J450">
        <v>238</v>
      </c>
      <c r="K450">
        <v>156</v>
      </c>
    </row>
    <row r="451" spans="1:11" x14ac:dyDescent="0.3">
      <c r="A451">
        <v>24.03</v>
      </c>
      <c r="B451" t="s">
        <v>70</v>
      </c>
      <c r="C451" t="s">
        <v>606</v>
      </c>
      <c r="D451" t="s">
        <v>93</v>
      </c>
      <c r="E451">
        <v>8</v>
      </c>
      <c r="F451" t="s">
        <v>156</v>
      </c>
      <c r="G451">
        <v>45.7</v>
      </c>
      <c r="H451">
        <v>27</v>
      </c>
      <c r="I451">
        <v>203</v>
      </c>
      <c r="J451">
        <v>249</v>
      </c>
      <c r="K451">
        <v>46</v>
      </c>
    </row>
    <row r="452" spans="1:11" x14ac:dyDescent="0.3">
      <c r="A452">
        <v>16.329999999999998</v>
      </c>
      <c r="B452" t="s">
        <v>70</v>
      </c>
      <c r="C452" t="s">
        <v>607</v>
      </c>
      <c r="D452" t="s">
        <v>87</v>
      </c>
      <c r="E452">
        <v>8</v>
      </c>
      <c r="F452" t="s">
        <v>110</v>
      </c>
      <c r="G452">
        <v>34.049999999999997</v>
      </c>
      <c r="H452">
        <v>84</v>
      </c>
      <c r="I452">
        <v>179</v>
      </c>
      <c r="J452">
        <v>410</v>
      </c>
      <c r="K452">
        <v>231</v>
      </c>
    </row>
    <row r="453" spans="1:11" x14ac:dyDescent="0.3">
      <c r="A453">
        <v>17.79</v>
      </c>
      <c r="B453" t="s">
        <v>70</v>
      </c>
      <c r="C453" t="s">
        <v>608</v>
      </c>
      <c r="D453" t="s">
        <v>72</v>
      </c>
      <c r="E453">
        <v>8</v>
      </c>
      <c r="F453" t="s">
        <v>102</v>
      </c>
      <c r="G453">
        <v>38.39</v>
      </c>
      <c r="H453">
        <v>26</v>
      </c>
      <c r="I453">
        <v>149</v>
      </c>
      <c r="J453">
        <v>195</v>
      </c>
      <c r="K453">
        <v>46</v>
      </c>
    </row>
    <row r="454" spans="1:11" x14ac:dyDescent="0.3">
      <c r="A454">
        <v>9.33</v>
      </c>
      <c r="B454" t="s">
        <v>70</v>
      </c>
      <c r="C454" t="s">
        <v>609</v>
      </c>
      <c r="D454" t="s">
        <v>83</v>
      </c>
      <c r="E454">
        <v>8</v>
      </c>
      <c r="F454" t="s">
        <v>210</v>
      </c>
      <c r="G454">
        <v>18</v>
      </c>
      <c r="H454">
        <v>6</v>
      </c>
      <c r="I454">
        <v>28</v>
      </c>
      <c r="J454">
        <v>55</v>
      </c>
      <c r="K454">
        <v>27</v>
      </c>
    </row>
    <row r="455" spans="1:11" x14ac:dyDescent="0.3">
      <c r="A455">
        <v>13.25</v>
      </c>
      <c r="B455" t="s">
        <v>70</v>
      </c>
      <c r="C455" t="s">
        <v>610</v>
      </c>
      <c r="D455" t="s">
        <v>90</v>
      </c>
      <c r="E455">
        <v>8</v>
      </c>
      <c r="F455" t="s">
        <v>133</v>
      </c>
      <c r="G455">
        <v>19.98</v>
      </c>
      <c r="H455">
        <v>5</v>
      </c>
      <c r="I455">
        <v>23</v>
      </c>
      <c r="J455">
        <v>40</v>
      </c>
      <c r="K455">
        <v>17</v>
      </c>
    </row>
    <row r="456" spans="1:11" x14ac:dyDescent="0.3">
      <c r="A456">
        <v>16.27</v>
      </c>
      <c r="B456" t="s">
        <v>70</v>
      </c>
      <c r="C456" t="s">
        <v>611</v>
      </c>
      <c r="D456" t="s">
        <v>87</v>
      </c>
      <c r="E456">
        <v>8</v>
      </c>
      <c r="F456" t="s">
        <v>237</v>
      </c>
      <c r="G456">
        <v>25.13</v>
      </c>
      <c r="H456">
        <v>65</v>
      </c>
      <c r="I456">
        <v>142</v>
      </c>
      <c r="J456">
        <v>373</v>
      </c>
      <c r="K456">
        <v>231</v>
      </c>
    </row>
    <row r="457" spans="1:11" x14ac:dyDescent="0.3">
      <c r="A457">
        <v>23.24</v>
      </c>
      <c r="B457" t="s">
        <v>70</v>
      </c>
      <c r="C457" t="s">
        <v>612</v>
      </c>
      <c r="D457" t="s">
        <v>130</v>
      </c>
      <c r="E457">
        <v>8</v>
      </c>
      <c r="F457" t="s">
        <v>131</v>
      </c>
      <c r="G457">
        <v>36.06</v>
      </c>
      <c r="H457">
        <v>22</v>
      </c>
      <c r="I457">
        <v>59</v>
      </c>
      <c r="J457">
        <v>115</v>
      </c>
      <c r="K457">
        <v>56</v>
      </c>
    </row>
    <row r="458" spans="1:11" x14ac:dyDescent="0.3">
      <c r="A458">
        <v>78.650000000000006</v>
      </c>
      <c r="B458" t="s">
        <v>70</v>
      </c>
      <c r="C458" t="s">
        <v>613</v>
      </c>
      <c r="D458" t="s">
        <v>90</v>
      </c>
      <c r="E458">
        <v>8</v>
      </c>
      <c r="F458" t="s">
        <v>91</v>
      </c>
      <c r="G458">
        <v>130.46</v>
      </c>
      <c r="H458">
        <v>40</v>
      </c>
      <c r="I458">
        <v>179</v>
      </c>
      <c r="J458">
        <v>297</v>
      </c>
      <c r="K458">
        <v>118</v>
      </c>
    </row>
    <row r="459" spans="1:11" x14ac:dyDescent="0.3">
      <c r="A459">
        <v>15.93</v>
      </c>
      <c r="B459" t="s">
        <v>70</v>
      </c>
      <c r="C459" t="s">
        <v>614</v>
      </c>
      <c r="D459" t="s">
        <v>93</v>
      </c>
      <c r="E459">
        <v>8</v>
      </c>
      <c r="F459" t="s">
        <v>424</v>
      </c>
      <c r="G459">
        <v>30.56</v>
      </c>
      <c r="H459">
        <v>47</v>
      </c>
      <c r="I459">
        <v>329</v>
      </c>
      <c r="J459">
        <v>366</v>
      </c>
      <c r="K459">
        <v>37</v>
      </c>
    </row>
    <row r="460" spans="1:11" x14ac:dyDescent="0.3">
      <c r="A460">
        <v>11.81</v>
      </c>
      <c r="B460" t="s">
        <v>70</v>
      </c>
      <c r="C460" t="s">
        <v>615</v>
      </c>
      <c r="D460" t="s">
        <v>72</v>
      </c>
      <c r="E460">
        <v>8</v>
      </c>
      <c r="F460" t="s">
        <v>118</v>
      </c>
      <c r="G460">
        <v>21.63</v>
      </c>
      <c r="H460">
        <v>71</v>
      </c>
      <c r="I460">
        <v>313</v>
      </c>
      <c r="J460">
        <v>457</v>
      </c>
      <c r="K460">
        <v>144</v>
      </c>
    </row>
    <row r="461" spans="1:11" x14ac:dyDescent="0.3">
      <c r="A461">
        <v>1.71</v>
      </c>
      <c r="B461" t="s">
        <v>70</v>
      </c>
      <c r="C461" t="s">
        <v>616</v>
      </c>
      <c r="D461" t="s">
        <v>80</v>
      </c>
      <c r="E461">
        <v>8</v>
      </c>
      <c r="F461" t="s">
        <v>98</v>
      </c>
      <c r="G461">
        <v>3.72</v>
      </c>
      <c r="H461">
        <v>75</v>
      </c>
      <c r="I461">
        <v>89</v>
      </c>
      <c r="J461">
        <v>440</v>
      </c>
      <c r="K461">
        <v>351</v>
      </c>
    </row>
    <row r="462" spans="1:11" x14ac:dyDescent="0.3">
      <c r="A462">
        <v>19.91</v>
      </c>
      <c r="B462" t="s">
        <v>70</v>
      </c>
      <c r="C462" t="s">
        <v>617</v>
      </c>
      <c r="D462" t="s">
        <v>72</v>
      </c>
      <c r="E462">
        <v>8</v>
      </c>
      <c r="F462" t="s">
        <v>463</v>
      </c>
      <c r="G462">
        <v>41.61</v>
      </c>
      <c r="H462">
        <v>9</v>
      </c>
      <c r="I462">
        <v>57</v>
      </c>
      <c r="J462">
        <v>73</v>
      </c>
      <c r="K462">
        <v>16</v>
      </c>
    </row>
    <row r="463" spans="1:11" x14ac:dyDescent="0.3">
      <c r="A463">
        <v>8.35</v>
      </c>
      <c r="B463" t="s">
        <v>70</v>
      </c>
      <c r="C463" t="s">
        <v>618</v>
      </c>
      <c r="D463" t="s">
        <v>72</v>
      </c>
      <c r="E463">
        <v>8</v>
      </c>
      <c r="F463" t="s">
        <v>265</v>
      </c>
      <c r="G463">
        <v>15.83</v>
      </c>
      <c r="H463">
        <v>80</v>
      </c>
      <c r="I463">
        <v>295</v>
      </c>
      <c r="J463">
        <v>440</v>
      </c>
      <c r="K463">
        <v>145</v>
      </c>
    </row>
    <row r="464" spans="1:11" x14ac:dyDescent="0.3">
      <c r="A464">
        <v>31.92</v>
      </c>
      <c r="B464" t="s">
        <v>70</v>
      </c>
      <c r="C464" t="s">
        <v>619</v>
      </c>
      <c r="D464" t="s">
        <v>93</v>
      </c>
      <c r="E464">
        <v>8</v>
      </c>
      <c r="F464" t="s">
        <v>414</v>
      </c>
      <c r="G464">
        <v>63.84</v>
      </c>
      <c r="H464">
        <v>47</v>
      </c>
      <c r="I464">
        <v>356</v>
      </c>
      <c r="J464">
        <v>434</v>
      </c>
      <c r="K464">
        <v>78</v>
      </c>
    </row>
    <row r="465" spans="1:11" x14ac:dyDescent="0.3">
      <c r="A465">
        <v>4.1500000000000004</v>
      </c>
      <c r="B465" t="s">
        <v>70</v>
      </c>
      <c r="C465" t="s">
        <v>620</v>
      </c>
      <c r="D465" t="s">
        <v>77</v>
      </c>
      <c r="E465">
        <v>8</v>
      </c>
      <c r="F465" t="s">
        <v>349</v>
      </c>
      <c r="G465">
        <v>7.02</v>
      </c>
      <c r="H465">
        <v>78</v>
      </c>
      <c r="I465">
        <v>335</v>
      </c>
      <c r="J465">
        <v>391</v>
      </c>
      <c r="K465">
        <v>56</v>
      </c>
    </row>
    <row r="466" spans="1:11" x14ac:dyDescent="0.3">
      <c r="A466">
        <v>13.27</v>
      </c>
      <c r="B466" t="s">
        <v>70</v>
      </c>
      <c r="C466" t="s">
        <v>621</v>
      </c>
      <c r="D466" t="s">
        <v>83</v>
      </c>
      <c r="E466">
        <v>8</v>
      </c>
      <c r="F466" t="s">
        <v>210</v>
      </c>
      <c r="G466">
        <v>24.83</v>
      </c>
      <c r="H466">
        <v>82</v>
      </c>
      <c r="I466">
        <v>288</v>
      </c>
      <c r="J466">
        <v>346</v>
      </c>
      <c r="K466">
        <v>58</v>
      </c>
    </row>
    <row r="467" spans="1:11" x14ac:dyDescent="0.3">
      <c r="A467">
        <v>13.35</v>
      </c>
      <c r="B467" t="s">
        <v>70</v>
      </c>
      <c r="C467" t="s">
        <v>622</v>
      </c>
      <c r="D467" t="s">
        <v>87</v>
      </c>
      <c r="E467">
        <v>8</v>
      </c>
      <c r="F467" t="s">
        <v>303</v>
      </c>
      <c r="G467">
        <v>27.84</v>
      </c>
      <c r="H467">
        <v>27</v>
      </c>
      <c r="I467">
        <v>73</v>
      </c>
      <c r="J467">
        <v>126</v>
      </c>
      <c r="K467">
        <v>53</v>
      </c>
    </row>
    <row r="468" spans="1:11" x14ac:dyDescent="0.3">
      <c r="A468">
        <v>30</v>
      </c>
      <c r="B468" t="s">
        <v>70</v>
      </c>
      <c r="C468" t="s">
        <v>623</v>
      </c>
      <c r="D468" t="s">
        <v>93</v>
      </c>
      <c r="E468">
        <v>8</v>
      </c>
      <c r="F468" t="s">
        <v>166</v>
      </c>
      <c r="G468">
        <v>55.75</v>
      </c>
      <c r="H468">
        <v>35</v>
      </c>
      <c r="I468">
        <v>273</v>
      </c>
      <c r="J468">
        <v>329</v>
      </c>
      <c r="K468">
        <v>56</v>
      </c>
    </row>
    <row r="469" spans="1:11" x14ac:dyDescent="0.3">
      <c r="A469">
        <v>11.35</v>
      </c>
      <c r="B469" t="s">
        <v>70</v>
      </c>
      <c r="C469" t="s">
        <v>624</v>
      </c>
      <c r="D469" t="s">
        <v>77</v>
      </c>
      <c r="E469">
        <v>8</v>
      </c>
      <c r="F469" t="s">
        <v>152</v>
      </c>
      <c r="G469">
        <v>15.94</v>
      </c>
      <c r="H469">
        <v>23</v>
      </c>
      <c r="I469">
        <v>56</v>
      </c>
      <c r="J469">
        <v>126</v>
      </c>
      <c r="K469">
        <v>70</v>
      </c>
    </row>
    <row r="470" spans="1:11" x14ac:dyDescent="0.3">
      <c r="A470">
        <v>0.52</v>
      </c>
      <c r="B470" t="s">
        <v>70</v>
      </c>
      <c r="C470" t="s">
        <v>625</v>
      </c>
      <c r="D470" t="s">
        <v>83</v>
      </c>
      <c r="E470">
        <v>8</v>
      </c>
      <c r="F470" t="s">
        <v>210</v>
      </c>
      <c r="G470">
        <v>1.07</v>
      </c>
      <c r="H470">
        <v>47</v>
      </c>
      <c r="I470">
        <v>272</v>
      </c>
      <c r="J470">
        <v>331</v>
      </c>
      <c r="K470">
        <v>59</v>
      </c>
    </row>
    <row r="471" spans="1:11" x14ac:dyDescent="0.3">
      <c r="A471">
        <v>27.24</v>
      </c>
      <c r="B471" t="s">
        <v>70</v>
      </c>
      <c r="C471" t="s">
        <v>626</v>
      </c>
      <c r="D471" t="s">
        <v>130</v>
      </c>
      <c r="E471">
        <v>8</v>
      </c>
      <c r="F471" t="s">
        <v>299</v>
      </c>
      <c r="G471">
        <v>52.15</v>
      </c>
      <c r="H471">
        <v>8</v>
      </c>
      <c r="I471">
        <v>34</v>
      </c>
      <c r="J471">
        <v>53</v>
      </c>
      <c r="K471">
        <v>19</v>
      </c>
    </row>
    <row r="472" spans="1:11" x14ac:dyDescent="0.3">
      <c r="A472">
        <v>20.170000000000002</v>
      </c>
      <c r="B472" t="s">
        <v>70</v>
      </c>
      <c r="C472" t="s">
        <v>627</v>
      </c>
      <c r="D472" t="s">
        <v>72</v>
      </c>
      <c r="E472">
        <v>8</v>
      </c>
      <c r="F472" t="s">
        <v>463</v>
      </c>
      <c r="G472">
        <v>41.49</v>
      </c>
      <c r="H472">
        <v>40</v>
      </c>
      <c r="I472">
        <v>76</v>
      </c>
      <c r="J472">
        <v>231</v>
      </c>
      <c r="K472">
        <v>155</v>
      </c>
    </row>
    <row r="473" spans="1:11" x14ac:dyDescent="0.3">
      <c r="A473">
        <v>10.050000000000001</v>
      </c>
      <c r="B473" t="s">
        <v>70</v>
      </c>
      <c r="C473" t="s">
        <v>628</v>
      </c>
      <c r="D473" t="s">
        <v>83</v>
      </c>
      <c r="E473">
        <v>8</v>
      </c>
      <c r="F473" t="s">
        <v>120</v>
      </c>
      <c r="G473">
        <v>14.57</v>
      </c>
      <c r="H473">
        <v>43</v>
      </c>
      <c r="I473">
        <v>123</v>
      </c>
      <c r="J473">
        <v>197</v>
      </c>
      <c r="K473">
        <v>74</v>
      </c>
    </row>
    <row r="474" spans="1:11" x14ac:dyDescent="0.3">
      <c r="A474">
        <v>28.54</v>
      </c>
      <c r="B474" t="s">
        <v>70</v>
      </c>
      <c r="C474" t="s">
        <v>629</v>
      </c>
      <c r="D474" t="s">
        <v>90</v>
      </c>
      <c r="E474">
        <v>8</v>
      </c>
      <c r="F474" t="s">
        <v>91</v>
      </c>
      <c r="G474">
        <v>41.86</v>
      </c>
      <c r="H474">
        <v>29</v>
      </c>
      <c r="I474">
        <v>164</v>
      </c>
      <c r="J474">
        <v>209</v>
      </c>
      <c r="K474">
        <v>45</v>
      </c>
    </row>
    <row r="475" spans="1:11" x14ac:dyDescent="0.3">
      <c r="A475">
        <v>73.680000000000007</v>
      </c>
      <c r="B475" t="s">
        <v>70</v>
      </c>
      <c r="C475" t="s">
        <v>630</v>
      </c>
      <c r="D475" t="s">
        <v>90</v>
      </c>
      <c r="E475">
        <v>8</v>
      </c>
      <c r="F475" t="s">
        <v>219</v>
      </c>
      <c r="G475">
        <v>145.51</v>
      </c>
      <c r="H475">
        <v>55</v>
      </c>
      <c r="I475">
        <v>147</v>
      </c>
      <c r="J475">
        <v>235</v>
      </c>
      <c r="K475">
        <v>88</v>
      </c>
    </row>
    <row r="476" spans="1:11" x14ac:dyDescent="0.3">
      <c r="A476">
        <v>5.19</v>
      </c>
      <c r="B476" t="s">
        <v>70</v>
      </c>
      <c r="C476" t="s">
        <v>631</v>
      </c>
      <c r="D476" t="s">
        <v>77</v>
      </c>
      <c r="E476">
        <v>8</v>
      </c>
      <c r="F476" t="s">
        <v>262</v>
      </c>
      <c r="G476">
        <v>11.39</v>
      </c>
      <c r="H476">
        <v>29</v>
      </c>
      <c r="I476">
        <v>208</v>
      </c>
      <c r="J476">
        <v>233</v>
      </c>
      <c r="K476">
        <v>25</v>
      </c>
    </row>
    <row r="477" spans="1:11" x14ac:dyDescent="0.3">
      <c r="A477">
        <v>10.71</v>
      </c>
      <c r="B477" t="s">
        <v>70</v>
      </c>
      <c r="C477" t="s">
        <v>632</v>
      </c>
      <c r="D477" t="s">
        <v>72</v>
      </c>
      <c r="E477">
        <v>8</v>
      </c>
      <c r="F477" t="s">
        <v>118</v>
      </c>
      <c r="G477">
        <v>15.66</v>
      </c>
      <c r="H477">
        <v>27</v>
      </c>
      <c r="I477">
        <v>41</v>
      </c>
      <c r="J477">
        <v>273</v>
      </c>
      <c r="K477">
        <v>232</v>
      </c>
    </row>
    <row r="478" spans="1:11" x14ac:dyDescent="0.3">
      <c r="A478">
        <v>9.0500000000000007</v>
      </c>
      <c r="B478" t="s">
        <v>70</v>
      </c>
      <c r="C478" t="s">
        <v>633</v>
      </c>
      <c r="D478" t="s">
        <v>130</v>
      </c>
      <c r="E478">
        <v>8</v>
      </c>
      <c r="F478" t="s">
        <v>131</v>
      </c>
      <c r="G478">
        <v>19.52</v>
      </c>
      <c r="H478">
        <v>60</v>
      </c>
      <c r="I478">
        <v>95</v>
      </c>
      <c r="J478">
        <v>328</v>
      </c>
      <c r="K478">
        <v>233</v>
      </c>
    </row>
    <row r="479" spans="1:11" x14ac:dyDescent="0.3">
      <c r="A479">
        <v>3.64</v>
      </c>
      <c r="B479" t="s">
        <v>70</v>
      </c>
      <c r="C479" t="s">
        <v>634</v>
      </c>
      <c r="D479" t="s">
        <v>130</v>
      </c>
      <c r="E479">
        <v>8</v>
      </c>
      <c r="F479" t="s">
        <v>290</v>
      </c>
      <c r="G479">
        <v>5.04</v>
      </c>
      <c r="H479">
        <v>28</v>
      </c>
      <c r="I479">
        <v>79</v>
      </c>
      <c r="J479">
        <v>175</v>
      </c>
      <c r="K479">
        <v>96</v>
      </c>
    </row>
    <row r="480" spans="1:11" x14ac:dyDescent="0.3">
      <c r="A480">
        <v>8.2200000000000006</v>
      </c>
      <c r="B480" t="s">
        <v>70</v>
      </c>
      <c r="C480" t="s">
        <v>635</v>
      </c>
      <c r="D480" t="s">
        <v>130</v>
      </c>
      <c r="E480">
        <v>2</v>
      </c>
      <c r="F480" t="s">
        <v>143</v>
      </c>
      <c r="G480">
        <v>13.9</v>
      </c>
      <c r="H480">
        <v>7</v>
      </c>
      <c r="I480">
        <v>24</v>
      </c>
      <c r="J480">
        <v>32</v>
      </c>
      <c r="K480">
        <v>8</v>
      </c>
    </row>
    <row r="481" spans="1:11" x14ac:dyDescent="0.3">
      <c r="A481">
        <v>15.67</v>
      </c>
      <c r="B481" t="s">
        <v>70</v>
      </c>
      <c r="C481" t="s">
        <v>636</v>
      </c>
      <c r="D481" t="s">
        <v>80</v>
      </c>
      <c r="E481">
        <v>2</v>
      </c>
      <c r="F481" t="s">
        <v>160</v>
      </c>
      <c r="G481">
        <v>24.53</v>
      </c>
      <c r="H481">
        <v>9</v>
      </c>
      <c r="I481">
        <v>76</v>
      </c>
      <c r="J481">
        <v>86</v>
      </c>
      <c r="K481">
        <v>10</v>
      </c>
    </row>
    <row r="482" spans="1:11" x14ac:dyDescent="0.3">
      <c r="A482">
        <v>34.159999999999997</v>
      </c>
      <c r="B482" t="s">
        <v>70</v>
      </c>
      <c r="C482" t="s">
        <v>637</v>
      </c>
      <c r="D482" t="s">
        <v>90</v>
      </c>
      <c r="E482">
        <v>2</v>
      </c>
      <c r="F482" t="s">
        <v>91</v>
      </c>
      <c r="G482">
        <v>61.03</v>
      </c>
      <c r="H482">
        <v>9</v>
      </c>
      <c r="I482">
        <v>24</v>
      </c>
      <c r="J482">
        <v>40</v>
      </c>
      <c r="K482">
        <v>16</v>
      </c>
    </row>
    <row r="483" spans="1:11" x14ac:dyDescent="0.3">
      <c r="A483">
        <v>10.27</v>
      </c>
      <c r="B483" t="s">
        <v>70</v>
      </c>
      <c r="C483" t="s">
        <v>638</v>
      </c>
      <c r="D483" t="s">
        <v>77</v>
      </c>
      <c r="E483">
        <v>2</v>
      </c>
      <c r="F483" t="s">
        <v>262</v>
      </c>
      <c r="G483">
        <v>22.32</v>
      </c>
      <c r="H483">
        <v>31</v>
      </c>
      <c r="I483">
        <v>84</v>
      </c>
      <c r="J483">
        <v>137</v>
      </c>
      <c r="K483">
        <v>53</v>
      </c>
    </row>
    <row r="484" spans="1:11" x14ac:dyDescent="0.3">
      <c r="A484">
        <v>60.97</v>
      </c>
      <c r="B484" t="s">
        <v>70</v>
      </c>
      <c r="C484" t="s">
        <v>639</v>
      </c>
      <c r="D484" t="s">
        <v>90</v>
      </c>
      <c r="E484">
        <v>2</v>
      </c>
      <c r="F484" t="s">
        <v>472</v>
      </c>
      <c r="G484">
        <v>89.21</v>
      </c>
      <c r="H484">
        <v>75</v>
      </c>
      <c r="I484">
        <v>227</v>
      </c>
      <c r="J484">
        <v>385</v>
      </c>
      <c r="K484">
        <v>158</v>
      </c>
    </row>
    <row r="485" spans="1:11" x14ac:dyDescent="0.3">
      <c r="A485">
        <v>10.86</v>
      </c>
      <c r="B485" t="s">
        <v>70</v>
      </c>
      <c r="C485" t="s">
        <v>640</v>
      </c>
      <c r="D485" t="s">
        <v>77</v>
      </c>
      <c r="E485">
        <v>2</v>
      </c>
      <c r="F485" t="s">
        <v>78</v>
      </c>
      <c r="G485">
        <v>21.62</v>
      </c>
      <c r="H485">
        <v>25</v>
      </c>
      <c r="I485">
        <v>97</v>
      </c>
      <c r="J485">
        <v>216</v>
      </c>
      <c r="K485">
        <v>119</v>
      </c>
    </row>
    <row r="486" spans="1:11" x14ac:dyDescent="0.3">
      <c r="A486">
        <v>21.3</v>
      </c>
      <c r="B486" t="s">
        <v>70</v>
      </c>
      <c r="C486" t="s">
        <v>641</v>
      </c>
      <c r="D486" t="s">
        <v>87</v>
      </c>
      <c r="E486">
        <v>2</v>
      </c>
      <c r="F486" t="s">
        <v>303</v>
      </c>
      <c r="G486">
        <v>38.340000000000003</v>
      </c>
      <c r="H486">
        <v>19</v>
      </c>
      <c r="I486">
        <v>78</v>
      </c>
      <c r="J486">
        <v>104</v>
      </c>
      <c r="K486">
        <v>26</v>
      </c>
    </row>
    <row r="487" spans="1:11" x14ac:dyDescent="0.3">
      <c r="A487">
        <v>3.94</v>
      </c>
      <c r="B487" t="s">
        <v>70</v>
      </c>
      <c r="C487" t="s">
        <v>642</v>
      </c>
      <c r="D487" t="s">
        <v>83</v>
      </c>
      <c r="E487">
        <v>2</v>
      </c>
      <c r="F487" t="s">
        <v>202</v>
      </c>
      <c r="G487">
        <v>6.62</v>
      </c>
      <c r="H487">
        <v>49</v>
      </c>
      <c r="I487">
        <v>111</v>
      </c>
      <c r="J487">
        <v>227</v>
      </c>
      <c r="K487">
        <v>116</v>
      </c>
    </row>
    <row r="488" spans="1:11" x14ac:dyDescent="0.3">
      <c r="A488">
        <v>36.99</v>
      </c>
      <c r="B488" t="s">
        <v>70</v>
      </c>
      <c r="C488" t="s">
        <v>643</v>
      </c>
      <c r="D488" t="s">
        <v>90</v>
      </c>
      <c r="E488">
        <v>2</v>
      </c>
      <c r="F488" t="s">
        <v>133</v>
      </c>
      <c r="G488">
        <v>72.16</v>
      </c>
      <c r="H488">
        <v>67</v>
      </c>
      <c r="I488">
        <v>73</v>
      </c>
      <c r="J488">
        <v>485</v>
      </c>
      <c r="K488">
        <v>412</v>
      </c>
    </row>
    <row r="489" spans="1:11" x14ac:dyDescent="0.3">
      <c r="A489">
        <v>18.5</v>
      </c>
      <c r="B489" t="s">
        <v>70</v>
      </c>
      <c r="C489" t="s">
        <v>644</v>
      </c>
      <c r="D489" t="s">
        <v>130</v>
      </c>
      <c r="E489">
        <v>2</v>
      </c>
      <c r="F489" t="s">
        <v>154</v>
      </c>
      <c r="G489">
        <v>39.69</v>
      </c>
      <c r="H489">
        <v>31</v>
      </c>
      <c r="I489">
        <v>91</v>
      </c>
      <c r="J489">
        <v>130</v>
      </c>
      <c r="K489">
        <v>39</v>
      </c>
    </row>
    <row r="490" spans="1:11" x14ac:dyDescent="0.3">
      <c r="A490">
        <v>30.91</v>
      </c>
      <c r="B490" t="s">
        <v>70</v>
      </c>
      <c r="C490" t="s">
        <v>645</v>
      </c>
      <c r="D490" t="s">
        <v>93</v>
      </c>
      <c r="E490">
        <v>2</v>
      </c>
      <c r="F490" t="s">
        <v>222</v>
      </c>
      <c r="G490">
        <v>47.77</v>
      </c>
      <c r="H490">
        <v>74</v>
      </c>
      <c r="I490">
        <v>135</v>
      </c>
      <c r="J490">
        <v>486</v>
      </c>
      <c r="K490">
        <v>351</v>
      </c>
    </row>
    <row r="491" spans="1:11" x14ac:dyDescent="0.3">
      <c r="A491">
        <v>9.6199999999999992</v>
      </c>
      <c r="B491" t="s">
        <v>70</v>
      </c>
      <c r="C491" t="s">
        <v>646</v>
      </c>
      <c r="D491" t="s">
        <v>130</v>
      </c>
      <c r="E491">
        <v>2</v>
      </c>
      <c r="F491" t="s">
        <v>299</v>
      </c>
      <c r="G491">
        <v>17.21</v>
      </c>
      <c r="H491">
        <v>67</v>
      </c>
      <c r="I491">
        <v>297</v>
      </c>
      <c r="J491">
        <v>353</v>
      </c>
      <c r="K491">
        <v>56</v>
      </c>
    </row>
    <row r="492" spans="1:11" x14ac:dyDescent="0.3">
      <c r="A492">
        <v>18.57</v>
      </c>
      <c r="B492" t="s">
        <v>70</v>
      </c>
      <c r="C492" t="s">
        <v>647</v>
      </c>
      <c r="D492" t="s">
        <v>72</v>
      </c>
      <c r="E492">
        <v>2</v>
      </c>
      <c r="F492" t="s">
        <v>75</v>
      </c>
      <c r="G492">
        <v>28.05</v>
      </c>
      <c r="H492">
        <v>39</v>
      </c>
      <c r="I492">
        <v>45</v>
      </c>
      <c r="J492">
        <v>229</v>
      </c>
      <c r="K492">
        <v>184</v>
      </c>
    </row>
    <row r="493" spans="1:11" x14ac:dyDescent="0.3">
      <c r="A493">
        <v>18.23</v>
      </c>
      <c r="B493" t="s">
        <v>70</v>
      </c>
      <c r="C493" t="s">
        <v>648</v>
      </c>
      <c r="D493" t="s">
        <v>93</v>
      </c>
      <c r="E493">
        <v>2</v>
      </c>
      <c r="F493" t="s">
        <v>414</v>
      </c>
      <c r="G493">
        <v>29.33</v>
      </c>
      <c r="H493">
        <v>77</v>
      </c>
      <c r="I493">
        <v>316</v>
      </c>
      <c r="J493">
        <v>424</v>
      </c>
      <c r="K493">
        <v>108</v>
      </c>
    </row>
    <row r="494" spans="1:11" x14ac:dyDescent="0.3">
      <c r="A494">
        <v>30.94</v>
      </c>
      <c r="B494" t="s">
        <v>70</v>
      </c>
      <c r="C494" t="s">
        <v>649</v>
      </c>
      <c r="D494" t="s">
        <v>90</v>
      </c>
      <c r="E494">
        <v>2</v>
      </c>
      <c r="F494" t="s">
        <v>352</v>
      </c>
      <c r="G494">
        <v>55.44</v>
      </c>
      <c r="H494">
        <v>59</v>
      </c>
      <c r="I494">
        <v>113</v>
      </c>
      <c r="J494">
        <v>470</v>
      </c>
      <c r="K494">
        <v>357</v>
      </c>
    </row>
    <row r="495" spans="1:11" x14ac:dyDescent="0.3">
      <c r="A495">
        <v>24.14</v>
      </c>
      <c r="B495" t="s">
        <v>70</v>
      </c>
      <c r="C495" t="s">
        <v>650</v>
      </c>
      <c r="D495" t="s">
        <v>93</v>
      </c>
      <c r="E495">
        <v>2</v>
      </c>
      <c r="F495" t="s">
        <v>222</v>
      </c>
      <c r="G495">
        <v>49.7</v>
      </c>
      <c r="H495">
        <v>43</v>
      </c>
      <c r="I495">
        <v>100</v>
      </c>
      <c r="J495">
        <v>177</v>
      </c>
      <c r="K495">
        <v>77</v>
      </c>
    </row>
    <row r="496" spans="1:11" x14ac:dyDescent="0.3">
      <c r="A496">
        <v>10.53</v>
      </c>
      <c r="B496" t="s">
        <v>70</v>
      </c>
      <c r="C496" t="s">
        <v>651</v>
      </c>
      <c r="D496" t="s">
        <v>72</v>
      </c>
      <c r="E496">
        <v>2</v>
      </c>
      <c r="F496" t="s">
        <v>75</v>
      </c>
      <c r="G496">
        <v>21.71</v>
      </c>
      <c r="H496">
        <v>29</v>
      </c>
      <c r="I496">
        <v>67</v>
      </c>
      <c r="J496">
        <v>142</v>
      </c>
      <c r="K496">
        <v>75</v>
      </c>
    </row>
    <row r="497" spans="1:11" x14ac:dyDescent="0.3">
      <c r="A497">
        <v>31.92</v>
      </c>
      <c r="B497" t="s">
        <v>70</v>
      </c>
      <c r="C497" t="s">
        <v>652</v>
      </c>
      <c r="D497" t="s">
        <v>93</v>
      </c>
      <c r="E497">
        <v>2</v>
      </c>
      <c r="F497" t="s">
        <v>414</v>
      </c>
      <c r="G497">
        <v>55.96</v>
      </c>
      <c r="H497">
        <v>7</v>
      </c>
      <c r="I497">
        <v>57</v>
      </c>
      <c r="J497">
        <v>66</v>
      </c>
      <c r="K497">
        <v>9</v>
      </c>
    </row>
    <row r="498" spans="1:11" x14ac:dyDescent="0.3">
      <c r="A498">
        <v>5.35</v>
      </c>
      <c r="B498" t="s">
        <v>70</v>
      </c>
      <c r="C498" t="s">
        <v>653</v>
      </c>
      <c r="D498" t="s">
        <v>130</v>
      </c>
      <c r="E498">
        <v>2</v>
      </c>
      <c r="F498" t="s">
        <v>131</v>
      </c>
      <c r="G498">
        <v>8.48</v>
      </c>
      <c r="H498">
        <v>101</v>
      </c>
      <c r="I498">
        <v>354</v>
      </c>
      <c r="J498">
        <v>423</v>
      </c>
      <c r="K498">
        <v>69</v>
      </c>
    </row>
    <row r="499" spans="1:11" x14ac:dyDescent="0.3">
      <c r="A499">
        <v>14.17</v>
      </c>
      <c r="B499" t="s">
        <v>70</v>
      </c>
      <c r="C499" t="s">
        <v>654</v>
      </c>
      <c r="D499" t="s">
        <v>87</v>
      </c>
      <c r="E499">
        <v>2</v>
      </c>
      <c r="F499" t="s">
        <v>269</v>
      </c>
      <c r="G499">
        <v>30.55</v>
      </c>
      <c r="H499">
        <v>50</v>
      </c>
      <c r="I499">
        <v>114</v>
      </c>
      <c r="J499">
        <v>356</v>
      </c>
      <c r="K499">
        <v>242</v>
      </c>
    </row>
    <row r="500" spans="1:11" x14ac:dyDescent="0.3">
      <c r="A500">
        <v>4.3099999999999996</v>
      </c>
      <c r="B500" t="s">
        <v>70</v>
      </c>
      <c r="C500" t="s">
        <v>655</v>
      </c>
      <c r="D500" t="s">
        <v>130</v>
      </c>
      <c r="E500">
        <v>2</v>
      </c>
      <c r="F500" t="s">
        <v>143</v>
      </c>
      <c r="G500">
        <v>7.43</v>
      </c>
      <c r="H500">
        <v>83</v>
      </c>
      <c r="I500">
        <v>261</v>
      </c>
      <c r="J500">
        <v>390</v>
      </c>
      <c r="K500">
        <v>129</v>
      </c>
    </row>
    <row r="501" spans="1:11" x14ac:dyDescent="0.3">
      <c r="A501">
        <v>13.64</v>
      </c>
      <c r="B501" t="s">
        <v>70</v>
      </c>
      <c r="C501" t="s">
        <v>656</v>
      </c>
      <c r="D501" t="s">
        <v>80</v>
      </c>
      <c r="E501">
        <v>2</v>
      </c>
      <c r="F501" t="s">
        <v>233</v>
      </c>
      <c r="G501">
        <v>22.99</v>
      </c>
      <c r="H501">
        <v>40</v>
      </c>
      <c r="I501">
        <v>129</v>
      </c>
      <c r="J501">
        <v>191</v>
      </c>
      <c r="K501">
        <v>62</v>
      </c>
    </row>
    <row r="502" spans="1:11" x14ac:dyDescent="0.3">
      <c r="A502">
        <v>1.71</v>
      </c>
      <c r="B502" t="s">
        <v>70</v>
      </c>
      <c r="C502" t="s">
        <v>657</v>
      </c>
      <c r="D502" t="s">
        <v>77</v>
      </c>
      <c r="E502">
        <v>2</v>
      </c>
      <c r="F502" t="s">
        <v>116</v>
      </c>
      <c r="G502">
        <v>2.74</v>
      </c>
      <c r="H502">
        <v>48</v>
      </c>
      <c r="I502">
        <v>116</v>
      </c>
      <c r="J502">
        <v>217</v>
      </c>
      <c r="K502">
        <v>101</v>
      </c>
    </row>
    <row r="503" spans="1:11" x14ac:dyDescent="0.3">
      <c r="A503">
        <v>4.26</v>
      </c>
      <c r="B503" t="s">
        <v>70</v>
      </c>
      <c r="C503" t="s">
        <v>658</v>
      </c>
      <c r="D503" t="s">
        <v>130</v>
      </c>
      <c r="E503">
        <v>2</v>
      </c>
      <c r="F503" t="s">
        <v>154</v>
      </c>
      <c r="G503">
        <v>7.57</v>
      </c>
      <c r="H503">
        <v>101</v>
      </c>
      <c r="I503">
        <v>238</v>
      </c>
      <c r="J503">
        <v>481</v>
      </c>
      <c r="K503">
        <v>243</v>
      </c>
    </row>
    <row r="504" spans="1:11" x14ac:dyDescent="0.3">
      <c r="A504">
        <v>9.68</v>
      </c>
      <c r="B504" t="s">
        <v>70</v>
      </c>
      <c r="C504" t="s">
        <v>659</v>
      </c>
      <c r="D504" t="s">
        <v>72</v>
      </c>
      <c r="E504">
        <v>2</v>
      </c>
      <c r="F504" t="s">
        <v>102</v>
      </c>
      <c r="G504">
        <v>18.010000000000002</v>
      </c>
      <c r="H504">
        <v>10</v>
      </c>
      <c r="I504">
        <v>49</v>
      </c>
      <c r="J504">
        <v>91</v>
      </c>
      <c r="K504">
        <v>42</v>
      </c>
    </row>
    <row r="505" spans="1:11" x14ac:dyDescent="0.3">
      <c r="A505">
        <v>5.09</v>
      </c>
      <c r="B505" t="s">
        <v>70</v>
      </c>
      <c r="C505" t="s">
        <v>660</v>
      </c>
      <c r="D505" t="s">
        <v>72</v>
      </c>
      <c r="E505">
        <v>2</v>
      </c>
      <c r="F505" t="s">
        <v>73</v>
      </c>
      <c r="G505">
        <v>8.6300000000000008</v>
      </c>
      <c r="H505">
        <v>34</v>
      </c>
      <c r="I505">
        <v>39</v>
      </c>
      <c r="J505">
        <v>168</v>
      </c>
      <c r="K505">
        <v>129</v>
      </c>
    </row>
    <row r="506" spans="1:11" x14ac:dyDescent="0.3">
      <c r="A506">
        <v>24.79</v>
      </c>
      <c r="B506" t="s">
        <v>70</v>
      </c>
      <c r="C506" t="s">
        <v>661</v>
      </c>
      <c r="D506" t="s">
        <v>72</v>
      </c>
      <c r="E506">
        <v>2</v>
      </c>
      <c r="F506" t="s">
        <v>73</v>
      </c>
      <c r="G506">
        <v>46.55</v>
      </c>
      <c r="H506">
        <v>82</v>
      </c>
      <c r="I506">
        <v>364</v>
      </c>
      <c r="J506">
        <v>499</v>
      </c>
      <c r="K506">
        <v>135</v>
      </c>
    </row>
    <row r="507" spans="1:11" x14ac:dyDescent="0.3">
      <c r="A507">
        <v>11.18</v>
      </c>
      <c r="B507" t="s">
        <v>70</v>
      </c>
      <c r="C507" t="s">
        <v>662</v>
      </c>
      <c r="D507" t="s">
        <v>77</v>
      </c>
      <c r="E507">
        <v>2</v>
      </c>
      <c r="F507" t="s">
        <v>180</v>
      </c>
      <c r="G507">
        <v>24.42</v>
      </c>
      <c r="H507">
        <v>35</v>
      </c>
      <c r="I507">
        <v>245</v>
      </c>
      <c r="J507">
        <v>285</v>
      </c>
      <c r="K507">
        <v>40</v>
      </c>
    </row>
    <row r="508" spans="1:11" x14ac:dyDescent="0.3">
      <c r="A508">
        <v>14.38</v>
      </c>
      <c r="B508" t="s">
        <v>70</v>
      </c>
      <c r="C508" t="s">
        <v>663</v>
      </c>
      <c r="D508" t="s">
        <v>90</v>
      </c>
      <c r="E508">
        <v>2</v>
      </c>
      <c r="F508" t="s">
        <v>177</v>
      </c>
      <c r="G508">
        <v>21.65</v>
      </c>
      <c r="H508">
        <v>26</v>
      </c>
      <c r="I508">
        <v>205</v>
      </c>
      <c r="J508">
        <v>240</v>
      </c>
      <c r="K508">
        <v>35</v>
      </c>
    </row>
    <row r="509" spans="1:11" x14ac:dyDescent="0.3">
      <c r="A509">
        <v>6.55</v>
      </c>
      <c r="B509" t="s">
        <v>70</v>
      </c>
      <c r="C509" t="s">
        <v>664</v>
      </c>
      <c r="D509" t="s">
        <v>77</v>
      </c>
      <c r="E509">
        <v>2</v>
      </c>
      <c r="F509" t="s">
        <v>349</v>
      </c>
      <c r="G509">
        <v>9.36</v>
      </c>
      <c r="H509">
        <v>105</v>
      </c>
      <c r="I509">
        <v>143</v>
      </c>
      <c r="J509">
        <v>430</v>
      </c>
      <c r="K509">
        <v>287</v>
      </c>
    </row>
    <row r="510" spans="1:11" x14ac:dyDescent="0.3">
      <c r="A510">
        <v>24.29</v>
      </c>
      <c r="B510" t="s">
        <v>70</v>
      </c>
      <c r="C510" t="s">
        <v>665</v>
      </c>
      <c r="D510" t="s">
        <v>93</v>
      </c>
      <c r="E510">
        <v>2</v>
      </c>
      <c r="F510" t="s">
        <v>125</v>
      </c>
      <c r="G510">
        <v>33.9</v>
      </c>
      <c r="H510">
        <v>21</v>
      </c>
      <c r="I510">
        <v>55</v>
      </c>
      <c r="J510">
        <v>101</v>
      </c>
      <c r="K510">
        <v>46</v>
      </c>
    </row>
    <row r="511" spans="1:11" x14ac:dyDescent="0.3">
      <c r="A511">
        <v>13.51</v>
      </c>
      <c r="B511" t="s">
        <v>70</v>
      </c>
      <c r="C511" t="s">
        <v>666</v>
      </c>
      <c r="D511" t="s">
        <v>87</v>
      </c>
      <c r="E511">
        <v>2</v>
      </c>
      <c r="F511" t="s">
        <v>147</v>
      </c>
      <c r="G511">
        <v>18.829999999999998</v>
      </c>
      <c r="H511">
        <v>83</v>
      </c>
      <c r="I511">
        <v>353</v>
      </c>
      <c r="J511">
        <v>414</v>
      </c>
      <c r="K511">
        <v>61</v>
      </c>
    </row>
    <row r="512" spans="1:11" x14ac:dyDescent="0.3">
      <c r="A512">
        <v>17.23</v>
      </c>
      <c r="B512" t="s">
        <v>70</v>
      </c>
      <c r="C512" t="s">
        <v>667</v>
      </c>
      <c r="D512" t="s">
        <v>93</v>
      </c>
      <c r="E512">
        <v>2</v>
      </c>
      <c r="F512" t="s">
        <v>424</v>
      </c>
      <c r="G512">
        <v>22.64</v>
      </c>
      <c r="H512">
        <v>84</v>
      </c>
      <c r="I512">
        <v>240</v>
      </c>
      <c r="J512">
        <v>446</v>
      </c>
      <c r="K512">
        <v>206</v>
      </c>
    </row>
    <row r="513" spans="1:11" x14ac:dyDescent="0.3">
      <c r="A513">
        <v>11.57</v>
      </c>
      <c r="B513" t="s">
        <v>70</v>
      </c>
      <c r="C513" t="s">
        <v>668</v>
      </c>
      <c r="D513" t="s">
        <v>83</v>
      </c>
      <c r="E513">
        <v>2</v>
      </c>
      <c r="F513" t="s">
        <v>120</v>
      </c>
      <c r="G513">
        <v>21.13</v>
      </c>
      <c r="H513">
        <v>66</v>
      </c>
      <c r="I513">
        <v>362</v>
      </c>
      <c r="J513">
        <v>415</v>
      </c>
      <c r="K513">
        <v>53</v>
      </c>
    </row>
    <row r="514" spans="1:11" x14ac:dyDescent="0.3">
      <c r="A514">
        <v>10.35</v>
      </c>
      <c r="B514" t="s">
        <v>70</v>
      </c>
      <c r="C514" t="s">
        <v>669</v>
      </c>
      <c r="D514" t="s">
        <v>83</v>
      </c>
      <c r="E514">
        <v>2</v>
      </c>
      <c r="F514" t="s">
        <v>84</v>
      </c>
      <c r="G514">
        <v>21.11</v>
      </c>
      <c r="H514">
        <v>22</v>
      </c>
      <c r="I514">
        <v>75</v>
      </c>
      <c r="J514">
        <v>124</v>
      </c>
      <c r="K514">
        <v>49</v>
      </c>
    </row>
    <row r="515" spans="1:11" x14ac:dyDescent="0.3">
      <c r="A515">
        <v>5.47</v>
      </c>
      <c r="B515" t="s">
        <v>70</v>
      </c>
      <c r="C515" t="s">
        <v>670</v>
      </c>
      <c r="D515" t="s">
        <v>90</v>
      </c>
      <c r="E515">
        <v>2</v>
      </c>
      <c r="F515" t="s">
        <v>219</v>
      </c>
      <c r="G515">
        <v>7.98</v>
      </c>
      <c r="H515">
        <v>59</v>
      </c>
      <c r="I515">
        <v>69</v>
      </c>
      <c r="J515">
        <v>281</v>
      </c>
      <c r="K515">
        <v>212</v>
      </c>
    </row>
    <row r="516" spans="1:11" x14ac:dyDescent="0.3">
      <c r="A516">
        <v>3.14</v>
      </c>
      <c r="B516" t="s">
        <v>70</v>
      </c>
      <c r="C516" t="s">
        <v>671</v>
      </c>
      <c r="D516" t="s">
        <v>80</v>
      </c>
      <c r="E516">
        <v>2</v>
      </c>
      <c r="F516" t="s">
        <v>136</v>
      </c>
      <c r="G516">
        <v>6.17</v>
      </c>
      <c r="H516">
        <v>68</v>
      </c>
      <c r="I516">
        <v>259</v>
      </c>
      <c r="J516">
        <v>395</v>
      </c>
      <c r="K516">
        <v>136</v>
      </c>
    </row>
    <row r="517" spans="1:11" x14ac:dyDescent="0.3">
      <c r="A517">
        <v>20.28</v>
      </c>
      <c r="B517" t="s">
        <v>70</v>
      </c>
      <c r="C517" t="s">
        <v>672</v>
      </c>
      <c r="D517" t="s">
        <v>87</v>
      </c>
      <c r="E517">
        <v>2</v>
      </c>
      <c r="F517" t="s">
        <v>138</v>
      </c>
      <c r="G517">
        <v>27.56</v>
      </c>
      <c r="H517">
        <v>37</v>
      </c>
      <c r="I517">
        <v>157</v>
      </c>
      <c r="J517">
        <v>302</v>
      </c>
      <c r="K517">
        <v>145</v>
      </c>
    </row>
    <row r="518" spans="1:11" x14ac:dyDescent="0.3">
      <c r="A518">
        <v>3.12</v>
      </c>
      <c r="B518" t="s">
        <v>70</v>
      </c>
      <c r="C518" t="s">
        <v>673</v>
      </c>
      <c r="D518" t="s">
        <v>77</v>
      </c>
      <c r="E518">
        <v>2</v>
      </c>
      <c r="F518" t="s">
        <v>257</v>
      </c>
      <c r="G518">
        <v>4.4400000000000004</v>
      </c>
      <c r="H518">
        <v>11</v>
      </c>
      <c r="I518">
        <v>40</v>
      </c>
      <c r="J518">
        <v>76</v>
      </c>
      <c r="K518">
        <v>36</v>
      </c>
    </row>
    <row r="519" spans="1:11" x14ac:dyDescent="0.3">
      <c r="A519">
        <v>17.32</v>
      </c>
      <c r="B519" t="s">
        <v>70</v>
      </c>
      <c r="C519" t="s">
        <v>674</v>
      </c>
      <c r="D519" t="s">
        <v>80</v>
      </c>
      <c r="E519">
        <v>2</v>
      </c>
      <c r="F519" t="s">
        <v>160</v>
      </c>
      <c r="G519">
        <v>27.31</v>
      </c>
      <c r="H519">
        <v>49</v>
      </c>
      <c r="I519">
        <v>73</v>
      </c>
      <c r="J519">
        <v>254</v>
      </c>
      <c r="K519">
        <v>181</v>
      </c>
    </row>
    <row r="520" spans="1:11" x14ac:dyDescent="0.3">
      <c r="A520">
        <v>14.58</v>
      </c>
      <c r="B520" t="s">
        <v>70</v>
      </c>
      <c r="C520" t="s">
        <v>675</v>
      </c>
      <c r="D520" t="s">
        <v>72</v>
      </c>
      <c r="E520">
        <v>2</v>
      </c>
      <c r="F520" t="s">
        <v>73</v>
      </c>
      <c r="G520">
        <v>25.11</v>
      </c>
      <c r="H520">
        <v>42</v>
      </c>
      <c r="I520">
        <v>361</v>
      </c>
      <c r="J520">
        <v>419</v>
      </c>
      <c r="K520">
        <v>58</v>
      </c>
    </row>
    <row r="521" spans="1:11" x14ac:dyDescent="0.3">
      <c r="A521">
        <v>10.44</v>
      </c>
      <c r="B521" t="s">
        <v>70</v>
      </c>
      <c r="C521" t="s">
        <v>676</v>
      </c>
      <c r="D521" t="s">
        <v>77</v>
      </c>
      <c r="E521">
        <v>2</v>
      </c>
      <c r="F521" t="s">
        <v>349</v>
      </c>
      <c r="G521">
        <v>22.88</v>
      </c>
      <c r="H521">
        <v>8</v>
      </c>
      <c r="I521">
        <v>18</v>
      </c>
      <c r="J521">
        <v>38</v>
      </c>
      <c r="K521">
        <v>20</v>
      </c>
    </row>
    <row r="522" spans="1:11" x14ac:dyDescent="0.3">
      <c r="A522">
        <v>5.3</v>
      </c>
      <c r="B522" t="s">
        <v>70</v>
      </c>
      <c r="C522" t="s">
        <v>677</v>
      </c>
      <c r="D522" t="s">
        <v>83</v>
      </c>
      <c r="E522">
        <v>2</v>
      </c>
      <c r="F522" t="s">
        <v>210</v>
      </c>
      <c r="G522">
        <v>8.69</v>
      </c>
      <c r="H522">
        <v>25</v>
      </c>
      <c r="I522">
        <v>76</v>
      </c>
      <c r="J522">
        <v>106</v>
      </c>
      <c r="K522">
        <v>30</v>
      </c>
    </row>
    <row r="523" spans="1:11" x14ac:dyDescent="0.3">
      <c r="A523">
        <v>3.77</v>
      </c>
      <c r="B523" t="s">
        <v>70</v>
      </c>
      <c r="C523" t="s">
        <v>678</v>
      </c>
      <c r="D523" t="s">
        <v>83</v>
      </c>
      <c r="E523">
        <v>2</v>
      </c>
      <c r="F523" t="s">
        <v>332</v>
      </c>
      <c r="G523">
        <v>8.2799999999999994</v>
      </c>
      <c r="H523">
        <v>118</v>
      </c>
      <c r="I523">
        <v>133</v>
      </c>
      <c r="J523">
        <v>484</v>
      </c>
      <c r="K523">
        <v>351</v>
      </c>
    </row>
    <row r="524" spans="1:11" x14ac:dyDescent="0.3">
      <c r="A524">
        <v>52.95</v>
      </c>
      <c r="B524" t="s">
        <v>70</v>
      </c>
      <c r="C524" t="s">
        <v>679</v>
      </c>
      <c r="D524" t="s">
        <v>90</v>
      </c>
      <c r="E524">
        <v>2</v>
      </c>
      <c r="F524" t="s">
        <v>352</v>
      </c>
      <c r="G524">
        <v>84.84</v>
      </c>
      <c r="H524">
        <v>97</v>
      </c>
      <c r="I524">
        <v>193</v>
      </c>
      <c r="J524">
        <v>407</v>
      </c>
      <c r="K524">
        <v>214</v>
      </c>
    </row>
    <row r="525" spans="1:11" x14ac:dyDescent="0.3">
      <c r="A525">
        <v>5.33</v>
      </c>
      <c r="B525" t="s">
        <v>70</v>
      </c>
      <c r="C525" t="s">
        <v>680</v>
      </c>
      <c r="D525" t="s">
        <v>90</v>
      </c>
      <c r="E525">
        <v>2</v>
      </c>
      <c r="F525" t="s">
        <v>164</v>
      </c>
      <c r="G525">
        <v>8.64</v>
      </c>
      <c r="H525">
        <v>37</v>
      </c>
      <c r="I525">
        <v>193</v>
      </c>
      <c r="J525">
        <v>363</v>
      </c>
      <c r="K525">
        <v>170</v>
      </c>
    </row>
    <row r="526" spans="1:11" x14ac:dyDescent="0.3">
      <c r="A526">
        <v>11.48</v>
      </c>
      <c r="B526" t="s">
        <v>70</v>
      </c>
      <c r="C526" t="s">
        <v>681</v>
      </c>
      <c r="D526" t="s">
        <v>130</v>
      </c>
      <c r="E526">
        <v>2</v>
      </c>
      <c r="F526" t="s">
        <v>228</v>
      </c>
      <c r="G526">
        <v>20.76</v>
      </c>
      <c r="H526">
        <v>48</v>
      </c>
      <c r="I526">
        <v>210</v>
      </c>
      <c r="J526">
        <v>396</v>
      </c>
      <c r="K526">
        <v>186</v>
      </c>
    </row>
    <row r="527" spans="1:11" x14ac:dyDescent="0.3">
      <c r="A527">
        <v>9.43</v>
      </c>
      <c r="B527" t="s">
        <v>70</v>
      </c>
      <c r="C527" t="s">
        <v>682</v>
      </c>
      <c r="D527" t="s">
        <v>77</v>
      </c>
      <c r="E527">
        <v>2</v>
      </c>
      <c r="F527" t="s">
        <v>152</v>
      </c>
      <c r="G527">
        <v>18.27</v>
      </c>
      <c r="H527">
        <v>54</v>
      </c>
      <c r="I527">
        <v>338</v>
      </c>
      <c r="J527">
        <v>448</v>
      </c>
      <c r="K527">
        <v>110</v>
      </c>
    </row>
    <row r="528" spans="1:11" x14ac:dyDescent="0.3">
      <c r="A528">
        <v>11.87</v>
      </c>
      <c r="B528" t="s">
        <v>70</v>
      </c>
      <c r="C528" t="s">
        <v>683</v>
      </c>
      <c r="D528" t="s">
        <v>80</v>
      </c>
      <c r="E528">
        <v>2</v>
      </c>
      <c r="F528" t="s">
        <v>106</v>
      </c>
      <c r="G528">
        <v>18.11</v>
      </c>
      <c r="H528">
        <v>11</v>
      </c>
      <c r="I528">
        <v>68</v>
      </c>
      <c r="J528">
        <v>92</v>
      </c>
      <c r="K528">
        <v>24</v>
      </c>
    </row>
    <row r="529" spans="1:11" x14ac:dyDescent="0.3">
      <c r="A529">
        <v>24.93</v>
      </c>
      <c r="B529" t="s">
        <v>70</v>
      </c>
      <c r="C529" t="s">
        <v>684</v>
      </c>
      <c r="D529" t="s">
        <v>72</v>
      </c>
      <c r="E529">
        <v>2</v>
      </c>
      <c r="F529" t="s">
        <v>463</v>
      </c>
      <c r="G529">
        <v>39.53</v>
      </c>
      <c r="H529">
        <v>8</v>
      </c>
      <c r="I529">
        <v>12</v>
      </c>
      <c r="J529">
        <v>55</v>
      </c>
      <c r="K529">
        <v>43</v>
      </c>
    </row>
    <row r="530" spans="1:11" x14ac:dyDescent="0.3">
      <c r="A530">
        <v>14.91</v>
      </c>
      <c r="B530" t="s">
        <v>70</v>
      </c>
      <c r="C530" t="s">
        <v>685</v>
      </c>
      <c r="D530" t="s">
        <v>72</v>
      </c>
      <c r="E530">
        <v>2</v>
      </c>
      <c r="F530" t="s">
        <v>168</v>
      </c>
      <c r="G530">
        <v>30.42</v>
      </c>
      <c r="H530">
        <v>68</v>
      </c>
      <c r="I530">
        <v>288</v>
      </c>
      <c r="J530">
        <v>353</v>
      </c>
      <c r="K530">
        <v>65</v>
      </c>
    </row>
    <row r="531" spans="1:11" x14ac:dyDescent="0.3">
      <c r="A531">
        <v>22.2</v>
      </c>
      <c r="B531" t="s">
        <v>70</v>
      </c>
      <c r="C531" t="s">
        <v>686</v>
      </c>
      <c r="D531" t="s">
        <v>72</v>
      </c>
      <c r="E531">
        <v>2</v>
      </c>
      <c r="F531" t="s">
        <v>197</v>
      </c>
      <c r="G531">
        <v>48.49</v>
      </c>
      <c r="H531">
        <v>51</v>
      </c>
      <c r="I531">
        <v>178</v>
      </c>
      <c r="J531">
        <v>262</v>
      </c>
      <c r="K531">
        <v>84</v>
      </c>
    </row>
    <row r="532" spans="1:11" x14ac:dyDescent="0.3">
      <c r="A532">
        <v>2.82</v>
      </c>
      <c r="B532" t="s">
        <v>70</v>
      </c>
      <c r="C532" t="s">
        <v>687</v>
      </c>
      <c r="D532" t="s">
        <v>83</v>
      </c>
      <c r="E532">
        <v>2</v>
      </c>
      <c r="F532" t="s">
        <v>206</v>
      </c>
      <c r="G532">
        <v>5.99</v>
      </c>
      <c r="H532">
        <v>51</v>
      </c>
      <c r="I532">
        <v>206</v>
      </c>
      <c r="J532">
        <v>277</v>
      </c>
      <c r="K532">
        <v>71</v>
      </c>
    </row>
    <row r="533" spans="1:11" x14ac:dyDescent="0.3">
      <c r="A533">
        <v>6.02</v>
      </c>
      <c r="B533" t="s">
        <v>70</v>
      </c>
      <c r="C533" t="s">
        <v>688</v>
      </c>
      <c r="D533" t="s">
        <v>80</v>
      </c>
      <c r="E533">
        <v>2</v>
      </c>
      <c r="F533" t="s">
        <v>81</v>
      </c>
      <c r="G533">
        <v>9.1199999999999992</v>
      </c>
      <c r="H533">
        <v>15</v>
      </c>
      <c r="I533">
        <v>22</v>
      </c>
      <c r="J533">
        <v>62</v>
      </c>
      <c r="K533">
        <v>40</v>
      </c>
    </row>
    <row r="534" spans="1:11" x14ac:dyDescent="0.3">
      <c r="A534">
        <v>17.54</v>
      </c>
      <c r="B534" t="s">
        <v>70</v>
      </c>
      <c r="C534" t="s">
        <v>689</v>
      </c>
      <c r="D534" t="s">
        <v>80</v>
      </c>
      <c r="E534">
        <v>2</v>
      </c>
      <c r="F534" t="s">
        <v>106</v>
      </c>
      <c r="G534">
        <v>31.71</v>
      </c>
      <c r="H534">
        <v>29</v>
      </c>
      <c r="I534">
        <v>122</v>
      </c>
      <c r="J534">
        <v>180</v>
      </c>
      <c r="K534">
        <v>58</v>
      </c>
    </row>
    <row r="535" spans="1:11" x14ac:dyDescent="0.3">
      <c r="A535">
        <v>13.59</v>
      </c>
      <c r="B535" t="s">
        <v>70</v>
      </c>
      <c r="C535" t="s">
        <v>690</v>
      </c>
      <c r="D535" t="s">
        <v>87</v>
      </c>
      <c r="E535">
        <v>2</v>
      </c>
      <c r="F535" t="s">
        <v>122</v>
      </c>
      <c r="G535">
        <v>20.57</v>
      </c>
      <c r="H535">
        <v>22</v>
      </c>
      <c r="I535">
        <v>122</v>
      </c>
      <c r="J535">
        <v>164</v>
      </c>
      <c r="K535">
        <v>42</v>
      </c>
    </row>
    <row r="536" spans="1:11" x14ac:dyDescent="0.3">
      <c r="A536">
        <v>31.12</v>
      </c>
      <c r="B536" t="s">
        <v>70</v>
      </c>
      <c r="C536" t="s">
        <v>691</v>
      </c>
      <c r="D536" t="s">
        <v>93</v>
      </c>
      <c r="E536">
        <v>2</v>
      </c>
      <c r="F536" t="s">
        <v>156</v>
      </c>
      <c r="G536">
        <v>66.94</v>
      </c>
      <c r="H536">
        <v>6</v>
      </c>
      <c r="I536">
        <v>10</v>
      </c>
      <c r="J536">
        <v>31</v>
      </c>
      <c r="K536">
        <v>21</v>
      </c>
    </row>
    <row r="537" spans="1:11" x14ac:dyDescent="0.3">
      <c r="A537">
        <v>3.44</v>
      </c>
      <c r="B537" t="s">
        <v>70</v>
      </c>
      <c r="C537" t="s">
        <v>692</v>
      </c>
      <c r="D537" t="s">
        <v>130</v>
      </c>
      <c r="E537">
        <v>2</v>
      </c>
      <c r="F537" t="s">
        <v>143</v>
      </c>
      <c r="G537">
        <v>7.12</v>
      </c>
      <c r="H537">
        <v>58</v>
      </c>
      <c r="I537">
        <v>185</v>
      </c>
      <c r="J537">
        <v>464</v>
      </c>
      <c r="K537">
        <v>279</v>
      </c>
    </row>
    <row r="538" spans="1:11" x14ac:dyDescent="0.3">
      <c r="A538">
        <v>13.17</v>
      </c>
      <c r="B538" t="s">
        <v>70</v>
      </c>
      <c r="C538" t="s">
        <v>693</v>
      </c>
      <c r="D538" t="s">
        <v>83</v>
      </c>
      <c r="E538">
        <v>2</v>
      </c>
      <c r="F538" t="s">
        <v>84</v>
      </c>
      <c r="G538">
        <v>28.61</v>
      </c>
      <c r="H538">
        <v>52</v>
      </c>
      <c r="I538">
        <v>195</v>
      </c>
      <c r="J538">
        <v>479</v>
      </c>
      <c r="K538">
        <v>284</v>
      </c>
    </row>
    <row r="539" spans="1:11" x14ac:dyDescent="0.3">
      <c r="A539">
        <v>8.74</v>
      </c>
      <c r="B539" t="s">
        <v>70</v>
      </c>
      <c r="C539" t="s">
        <v>694</v>
      </c>
      <c r="D539" t="s">
        <v>77</v>
      </c>
      <c r="E539">
        <v>2</v>
      </c>
      <c r="F539" t="s">
        <v>152</v>
      </c>
      <c r="G539">
        <v>14.5</v>
      </c>
      <c r="H539">
        <v>70</v>
      </c>
      <c r="I539">
        <v>136</v>
      </c>
      <c r="J539">
        <v>493</v>
      </c>
      <c r="K539">
        <v>357</v>
      </c>
    </row>
    <row r="540" spans="1:11" x14ac:dyDescent="0.3">
      <c r="A540">
        <v>31.05</v>
      </c>
      <c r="B540" t="s">
        <v>70</v>
      </c>
      <c r="C540" t="s">
        <v>695</v>
      </c>
      <c r="D540" t="s">
        <v>90</v>
      </c>
      <c r="E540">
        <v>2</v>
      </c>
      <c r="F540" t="s">
        <v>177</v>
      </c>
      <c r="G540">
        <v>43.23</v>
      </c>
      <c r="H540">
        <v>119</v>
      </c>
      <c r="I540">
        <v>123</v>
      </c>
      <c r="J540">
        <v>480</v>
      </c>
      <c r="K540">
        <v>357</v>
      </c>
    </row>
    <row r="541" spans="1:11" x14ac:dyDescent="0.3">
      <c r="A541">
        <v>11.65</v>
      </c>
      <c r="B541" t="s">
        <v>70</v>
      </c>
      <c r="C541" t="s">
        <v>696</v>
      </c>
      <c r="D541" t="s">
        <v>83</v>
      </c>
      <c r="E541">
        <v>2</v>
      </c>
      <c r="F541" t="s">
        <v>100</v>
      </c>
      <c r="G541">
        <v>17.55</v>
      </c>
      <c r="H541">
        <v>53</v>
      </c>
      <c r="I541">
        <v>147</v>
      </c>
      <c r="J541">
        <v>332</v>
      </c>
      <c r="K541">
        <v>185</v>
      </c>
    </row>
    <row r="542" spans="1:11" x14ac:dyDescent="0.3">
      <c r="A542">
        <v>9.27</v>
      </c>
      <c r="B542" t="s">
        <v>70</v>
      </c>
      <c r="C542" t="s">
        <v>697</v>
      </c>
      <c r="D542" t="s">
        <v>77</v>
      </c>
      <c r="E542">
        <v>2</v>
      </c>
      <c r="F542" t="s">
        <v>78</v>
      </c>
      <c r="G542">
        <v>17.82</v>
      </c>
      <c r="H542">
        <v>29</v>
      </c>
      <c r="I542">
        <v>176</v>
      </c>
      <c r="J542">
        <v>207</v>
      </c>
      <c r="K542">
        <v>31</v>
      </c>
    </row>
    <row r="543" spans="1:11" x14ac:dyDescent="0.3">
      <c r="A543">
        <v>17.190000000000001</v>
      </c>
      <c r="B543" t="s">
        <v>70</v>
      </c>
      <c r="C543" t="s">
        <v>698</v>
      </c>
      <c r="D543" t="s">
        <v>87</v>
      </c>
      <c r="E543">
        <v>2</v>
      </c>
      <c r="F543" t="s">
        <v>237</v>
      </c>
      <c r="G543">
        <v>28.61</v>
      </c>
      <c r="H543">
        <v>62</v>
      </c>
      <c r="I543">
        <v>247</v>
      </c>
      <c r="J543">
        <v>388</v>
      </c>
      <c r="K543">
        <v>141</v>
      </c>
    </row>
    <row r="544" spans="1:11" x14ac:dyDescent="0.3">
      <c r="A544">
        <v>12.96</v>
      </c>
      <c r="B544" t="s">
        <v>70</v>
      </c>
      <c r="C544" t="s">
        <v>699</v>
      </c>
      <c r="D544" t="s">
        <v>83</v>
      </c>
      <c r="E544">
        <v>2</v>
      </c>
      <c r="F544" t="s">
        <v>100</v>
      </c>
      <c r="G544">
        <v>23.87</v>
      </c>
      <c r="H544">
        <v>82</v>
      </c>
      <c r="I544">
        <v>349</v>
      </c>
      <c r="J544">
        <v>398</v>
      </c>
      <c r="K544">
        <v>49</v>
      </c>
    </row>
    <row r="545" spans="1:11" x14ac:dyDescent="0.3">
      <c r="A545">
        <v>21.76</v>
      </c>
      <c r="B545" t="s">
        <v>70</v>
      </c>
      <c r="C545" t="s">
        <v>700</v>
      </c>
      <c r="D545" t="s">
        <v>130</v>
      </c>
      <c r="E545">
        <v>2</v>
      </c>
      <c r="F545" t="s">
        <v>192</v>
      </c>
      <c r="G545">
        <v>29.34</v>
      </c>
      <c r="H545">
        <v>100</v>
      </c>
      <c r="I545">
        <v>273</v>
      </c>
      <c r="J545">
        <v>431</v>
      </c>
      <c r="K545">
        <v>158</v>
      </c>
    </row>
    <row r="546" spans="1:11" x14ac:dyDescent="0.3">
      <c r="A546">
        <v>6.44</v>
      </c>
      <c r="B546" t="s">
        <v>70</v>
      </c>
      <c r="C546" t="s">
        <v>701</v>
      </c>
      <c r="D546" t="s">
        <v>77</v>
      </c>
      <c r="E546">
        <v>2</v>
      </c>
      <c r="F546" t="s">
        <v>152</v>
      </c>
      <c r="G546">
        <v>13.31</v>
      </c>
      <c r="H546">
        <v>35</v>
      </c>
      <c r="I546">
        <v>184</v>
      </c>
      <c r="J546">
        <v>218</v>
      </c>
      <c r="K546">
        <v>34</v>
      </c>
    </row>
    <row r="547" spans="1:11" x14ac:dyDescent="0.3">
      <c r="A547">
        <v>11.71</v>
      </c>
      <c r="B547" t="s">
        <v>70</v>
      </c>
      <c r="C547" t="s">
        <v>702</v>
      </c>
      <c r="D547" t="s">
        <v>90</v>
      </c>
      <c r="E547">
        <v>2</v>
      </c>
      <c r="F547" t="s">
        <v>91</v>
      </c>
      <c r="G547">
        <v>19.09</v>
      </c>
      <c r="H547">
        <v>76</v>
      </c>
      <c r="I547">
        <v>185</v>
      </c>
      <c r="J547">
        <v>405</v>
      </c>
      <c r="K547">
        <v>220</v>
      </c>
    </row>
    <row r="548" spans="1:11" x14ac:dyDescent="0.3">
      <c r="A548">
        <v>5.71</v>
      </c>
      <c r="B548" t="s">
        <v>70</v>
      </c>
      <c r="C548" t="s">
        <v>703</v>
      </c>
      <c r="D548" t="s">
        <v>77</v>
      </c>
      <c r="E548">
        <v>2</v>
      </c>
      <c r="F548" t="s">
        <v>446</v>
      </c>
      <c r="G548">
        <v>10.97</v>
      </c>
      <c r="H548">
        <v>46</v>
      </c>
      <c r="I548">
        <v>144</v>
      </c>
      <c r="J548">
        <v>304</v>
      </c>
      <c r="K548">
        <v>160</v>
      </c>
    </row>
    <row r="549" spans="1:11" x14ac:dyDescent="0.3">
      <c r="A549">
        <v>7.8</v>
      </c>
      <c r="B549" t="s">
        <v>70</v>
      </c>
      <c r="C549" t="s">
        <v>704</v>
      </c>
      <c r="D549" t="s">
        <v>83</v>
      </c>
      <c r="E549">
        <v>2</v>
      </c>
      <c r="F549" t="s">
        <v>305</v>
      </c>
      <c r="G549">
        <v>13.91</v>
      </c>
      <c r="H549">
        <v>2</v>
      </c>
      <c r="I549">
        <v>4</v>
      </c>
      <c r="J549">
        <v>25</v>
      </c>
      <c r="K549">
        <v>21</v>
      </c>
    </row>
    <row r="550" spans="1:11" x14ac:dyDescent="0.3">
      <c r="A550">
        <v>22.1</v>
      </c>
      <c r="B550" t="s">
        <v>70</v>
      </c>
      <c r="C550" t="s">
        <v>705</v>
      </c>
      <c r="D550" t="s">
        <v>87</v>
      </c>
      <c r="E550">
        <v>2</v>
      </c>
      <c r="F550" t="s">
        <v>110</v>
      </c>
      <c r="G550">
        <v>31.97</v>
      </c>
      <c r="H550">
        <v>60</v>
      </c>
      <c r="I550">
        <v>255</v>
      </c>
      <c r="J550">
        <v>335</v>
      </c>
      <c r="K550">
        <v>80</v>
      </c>
    </row>
    <row r="551" spans="1:11" x14ac:dyDescent="0.3">
      <c r="A551">
        <v>23.43</v>
      </c>
      <c r="B551" t="s">
        <v>70</v>
      </c>
      <c r="C551" t="s">
        <v>706</v>
      </c>
      <c r="D551" t="s">
        <v>90</v>
      </c>
      <c r="E551">
        <v>2</v>
      </c>
      <c r="F551" t="s">
        <v>177</v>
      </c>
      <c r="G551">
        <v>37.9</v>
      </c>
      <c r="H551">
        <v>17</v>
      </c>
      <c r="I551">
        <v>20</v>
      </c>
      <c r="J551">
        <v>112</v>
      </c>
      <c r="K551">
        <v>92</v>
      </c>
    </row>
    <row r="552" spans="1:11" x14ac:dyDescent="0.3">
      <c r="A552">
        <v>1.48</v>
      </c>
      <c r="B552" t="s">
        <v>70</v>
      </c>
      <c r="C552" t="s">
        <v>707</v>
      </c>
      <c r="D552" t="s">
        <v>80</v>
      </c>
      <c r="E552">
        <v>2</v>
      </c>
      <c r="F552" t="s">
        <v>356</v>
      </c>
      <c r="G552">
        <v>2.94</v>
      </c>
      <c r="H552">
        <v>17</v>
      </c>
      <c r="I552">
        <v>110</v>
      </c>
      <c r="J552">
        <v>157</v>
      </c>
      <c r="K552">
        <v>47</v>
      </c>
    </row>
    <row r="553" spans="1:11" x14ac:dyDescent="0.3">
      <c r="A553">
        <v>12.45</v>
      </c>
      <c r="B553" t="s">
        <v>70</v>
      </c>
      <c r="C553" t="s">
        <v>708</v>
      </c>
      <c r="D553" t="s">
        <v>93</v>
      </c>
      <c r="E553">
        <v>2</v>
      </c>
      <c r="F553" t="s">
        <v>125</v>
      </c>
      <c r="G553">
        <v>17.59</v>
      </c>
      <c r="H553">
        <v>37</v>
      </c>
      <c r="I553">
        <v>159</v>
      </c>
      <c r="J553">
        <v>226</v>
      </c>
      <c r="K553">
        <v>67</v>
      </c>
    </row>
    <row r="554" spans="1:11" x14ac:dyDescent="0.3">
      <c r="A554">
        <v>2.75</v>
      </c>
      <c r="B554" t="s">
        <v>70</v>
      </c>
      <c r="C554" t="s">
        <v>709</v>
      </c>
      <c r="D554" t="s">
        <v>83</v>
      </c>
      <c r="E554">
        <v>2</v>
      </c>
      <c r="F554" t="s">
        <v>175</v>
      </c>
      <c r="G554">
        <v>5.12</v>
      </c>
      <c r="H554">
        <v>43</v>
      </c>
      <c r="I554">
        <v>141</v>
      </c>
      <c r="J554">
        <v>196</v>
      </c>
      <c r="K554">
        <v>55</v>
      </c>
    </row>
    <row r="555" spans="1:11" x14ac:dyDescent="0.3">
      <c r="A555">
        <v>28.02</v>
      </c>
      <c r="B555" t="s">
        <v>70</v>
      </c>
      <c r="C555" t="s">
        <v>710</v>
      </c>
      <c r="D555" t="s">
        <v>130</v>
      </c>
      <c r="E555">
        <v>2</v>
      </c>
      <c r="F555" t="s">
        <v>214</v>
      </c>
      <c r="G555">
        <v>51.32</v>
      </c>
      <c r="H555">
        <v>68</v>
      </c>
      <c r="I555">
        <v>343</v>
      </c>
      <c r="J555">
        <v>478</v>
      </c>
      <c r="K555">
        <v>135</v>
      </c>
    </row>
    <row r="556" spans="1:11" x14ac:dyDescent="0.3">
      <c r="A556">
        <v>12.67</v>
      </c>
      <c r="B556" t="s">
        <v>70</v>
      </c>
      <c r="C556" t="s">
        <v>711</v>
      </c>
      <c r="D556" t="s">
        <v>93</v>
      </c>
      <c r="E556">
        <v>2</v>
      </c>
      <c r="F556" t="s">
        <v>424</v>
      </c>
      <c r="G556">
        <v>24.7</v>
      </c>
      <c r="H556">
        <v>56</v>
      </c>
      <c r="I556">
        <v>147</v>
      </c>
      <c r="J556">
        <v>363</v>
      </c>
      <c r="K556">
        <v>216</v>
      </c>
    </row>
    <row r="557" spans="1:11" x14ac:dyDescent="0.3">
      <c r="A557">
        <v>7.07</v>
      </c>
      <c r="B557" t="s">
        <v>70</v>
      </c>
      <c r="C557" t="s">
        <v>712</v>
      </c>
      <c r="D557" t="s">
        <v>130</v>
      </c>
      <c r="E557">
        <v>2</v>
      </c>
      <c r="F557" t="s">
        <v>228</v>
      </c>
      <c r="G557">
        <v>14.34</v>
      </c>
      <c r="H557">
        <v>57</v>
      </c>
      <c r="I557">
        <v>230</v>
      </c>
      <c r="J557">
        <v>418</v>
      </c>
      <c r="K557">
        <v>188</v>
      </c>
    </row>
    <row r="558" spans="1:11" x14ac:dyDescent="0.3">
      <c r="A558">
        <v>4.54</v>
      </c>
      <c r="B558" t="s">
        <v>70</v>
      </c>
      <c r="C558" t="s">
        <v>713</v>
      </c>
      <c r="D558" t="s">
        <v>77</v>
      </c>
      <c r="E558">
        <v>2</v>
      </c>
      <c r="F558" t="s">
        <v>116</v>
      </c>
      <c r="G558">
        <v>6.49</v>
      </c>
      <c r="H558">
        <v>37</v>
      </c>
      <c r="I558">
        <v>45</v>
      </c>
      <c r="J558">
        <v>242</v>
      </c>
      <c r="K558">
        <v>197</v>
      </c>
    </row>
    <row r="559" spans="1:11" x14ac:dyDescent="0.3">
      <c r="A559">
        <v>14.82</v>
      </c>
      <c r="B559" t="s">
        <v>70</v>
      </c>
      <c r="C559" t="s">
        <v>714</v>
      </c>
      <c r="D559" t="s">
        <v>93</v>
      </c>
      <c r="E559">
        <v>2</v>
      </c>
      <c r="F559" t="s">
        <v>414</v>
      </c>
      <c r="G559">
        <v>29.18</v>
      </c>
      <c r="H559">
        <v>11</v>
      </c>
      <c r="I559">
        <v>23</v>
      </c>
      <c r="J559">
        <v>50</v>
      </c>
      <c r="K559">
        <v>27</v>
      </c>
    </row>
    <row r="560" spans="1:11" x14ac:dyDescent="0.3">
      <c r="A560">
        <v>1.96</v>
      </c>
      <c r="B560" t="s">
        <v>70</v>
      </c>
      <c r="C560" t="s">
        <v>715</v>
      </c>
      <c r="D560" t="s">
        <v>72</v>
      </c>
      <c r="E560">
        <v>2</v>
      </c>
      <c r="F560" t="s">
        <v>75</v>
      </c>
      <c r="G560">
        <v>2.95</v>
      </c>
      <c r="H560">
        <v>10</v>
      </c>
      <c r="I560">
        <v>87</v>
      </c>
      <c r="J560">
        <v>97</v>
      </c>
      <c r="K560">
        <v>10</v>
      </c>
    </row>
    <row r="561" spans="1:11" x14ac:dyDescent="0.3">
      <c r="A561">
        <v>10.32</v>
      </c>
      <c r="B561" t="s">
        <v>70</v>
      </c>
      <c r="C561" t="s">
        <v>716</v>
      </c>
      <c r="D561" t="s">
        <v>77</v>
      </c>
      <c r="E561">
        <v>2</v>
      </c>
      <c r="F561" t="s">
        <v>116</v>
      </c>
      <c r="G561">
        <v>19.71</v>
      </c>
      <c r="H561">
        <v>25</v>
      </c>
      <c r="I561">
        <v>115</v>
      </c>
      <c r="J561">
        <v>160</v>
      </c>
      <c r="K561">
        <v>45</v>
      </c>
    </row>
    <row r="562" spans="1:11" x14ac:dyDescent="0.3">
      <c r="A562">
        <v>30.03</v>
      </c>
      <c r="B562" t="s">
        <v>70</v>
      </c>
      <c r="C562" t="s">
        <v>717</v>
      </c>
      <c r="D562" t="s">
        <v>93</v>
      </c>
      <c r="E562">
        <v>2</v>
      </c>
      <c r="F562" t="s">
        <v>108</v>
      </c>
      <c r="G562">
        <v>45.62</v>
      </c>
      <c r="H562">
        <v>66</v>
      </c>
      <c r="I562">
        <v>123</v>
      </c>
      <c r="J562">
        <v>367</v>
      </c>
      <c r="K562">
        <v>244</v>
      </c>
    </row>
    <row r="563" spans="1:11" x14ac:dyDescent="0.3">
      <c r="A563">
        <v>18.16</v>
      </c>
      <c r="B563" t="s">
        <v>70</v>
      </c>
      <c r="C563" t="s">
        <v>718</v>
      </c>
      <c r="D563" t="s">
        <v>80</v>
      </c>
      <c r="E563">
        <v>2</v>
      </c>
      <c r="F563" t="s">
        <v>160</v>
      </c>
      <c r="G563">
        <v>30.72</v>
      </c>
      <c r="H563">
        <v>30</v>
      </c>
      <c r="I563">
        <v>68</v>
      </c>
      <c r="J563">
        <v>219</v>
      </c>
      <c r="K563">
        <v>151</v>
      </c>
    </row>
    <row r="564" spans="1:11" x14ac:dyDescent="0.3">
      <c r="A564">
        <v>9.0399999999999991</v>
      </c>
      <c r="B564" t="s">
        <v>70</v>
      </c>
      <c r="C564" t="s">
        <v>719</v>
      </c>
      <c r="D564" t="s">
        <v>83</v>
      </c>
      <c r="E564">
        <v>2</v>
      </c>
      <c r="F564" t="s">
        <v>305</v>
      </c>
      <c r="G564">
        <v>13.11</v>
      </c>
      <c r="H564">
        <v>44</v>
      </c>
      <c r="I564">
        <v>291</v>
      </c>
      <c r="J564">
        <v>410</v>
      </c>
      <c r="K564">
        <v>119</v>
      </c>
    </row>
    <row r="565" spans="1:11" x14ac:dyDescent="0.3">
      <c r="A565">
        <v>6.74</v>
      </c>
      <c r="B565" t="s">
        <v>70</v>
      </c>
      <c r="C565" t="s">
        <v>720</v>
      </c>
      <c r="D565" t="s">
        <v>130</v>
      </c>
      <c r="E565">
        <v>4</v>
      </c>
      <c r="F565" t="s">
        <v>131</v>
      </c>
      <c r="G565">
        <v>13.47</v>
      </c>
      <c r="H565">
        <v>2</v>
      </c>
      <c r="I565">
        <v>15</v>
      </c>
      <c r="J565">
        <v>21</v>
      </c>
      <c r="K565">
        <v>6</v>
      </c>
    </row>
    <row r="566" spans="1:11" x14ac:dyDescent="0.3">
      <c r="A566">
        <v>11.4</v>
      </c>
      <c r="B566" t="s">
        <v>70</v>
      </c>
      <c r="C566" t="s">
        <v>721</v>
      </c>
      <c r="D566" t="s">
        <v>130</v>
      </c>
      <c r="E566">
        <v>4</v>
      </c>
      <c r="F566" t="s">
        <v>131</v>
      </c>
      <c r="G566">
        <v>24.77</v>
      </c>
      <c r="H566">
        <v>21</v>
      </c>
      <c r="I566">
        <v>89</v>
      </c>
      <c r="J566">
        <v>207</v>
      </c>
      <c r="K566">
        <v>118</v>
      </c>
    </row>
    <row r="567" spans="1:11" x14ac:dyDescent="0.3">
      <c r="A567">
        <v>6.88</v>
      </c>
      <c r="B567" t="s">
        <v>70</v>
      </c>
      <c r="C567" t="s">
        <v>722</v>
      </c>
      <c r="D567" t="s">
        <v>77</v>
      </c>
      <c r="E567">
        <v>4</v>
      </c>
      <c r="F567" t="s">
        <v>446</v>
      </c>
      <c r="G567">
        <v>10.96</v>
      </c>
      <c r="H567">
        <v>41</v>
      </c>
      <c r="I567">
        <v>92</v>
      </c>
      <c r="J567">
        <v>189</v>
      </c>
      <c r="K567">
        <v>97</v>
      </c>
    </row>
    <row r="568" spans="1:11" x14ac:dyDescent="0.3">
      <c r="A568">
        <v>11.71</v>
      </c>
      <c r="B568" t="s">
        <v>70</v>
      </c>
      <c r="C568" t="s">
        <v>723</v>
      </c>
      <c r="D568" t="s">
        <v>90</v>
      </c>
      <c r="E568">
        <v>4</v>
      </c>
      <c r="F568" t="s">
        <v>352</v>
      </c>
      <c r="G568">
        <v>20.52</v>
      </c>
      <c r="H568">
        <v>17</v>
      </c>
      <c r="I568">
        <v>57</v>
      </c>
      <c r="J568">
        <v>94</v>
      </c>
      <c r="K568">
        <v>37</v>
      </c>
    </row>
    <row r="569" spans="1:11" x14ac:dyDescent="0.3">
      <c r="A569">
        <v>19.29</v>
      </c>
      <c r="B569" t="s">
        <v>70</v>
      </c>
      <c r="C569" t="s">
        <v>724</v>
      </c>
      <c r="D569" t="s">
        <v>80</v>
      </c>
      <c r="E569">
        <v>4</v>
      </c>
      <c r="F569" t="s">
        <v>233</v>
      </c>
      <c r="G569">
        <v>28.17</v>
      </c>
      <c r="H569">
        <v>30</v>
      </c>
      <c r="I569">
        <v>90</v>
      </c>
      <c r="J569">
        <v>126</v>
      </c>
      <c r="K569">
        <v>36</v>
      </c>
    </row>
    <row r="570" spans="1:11" x14ac:dyDescent="0.3">
      <c r="A570">
        <v>20.14</v>
      </c>
      <c r="B570" t="s">
        <v>70</v>
      </c>
      <c r="C570" t="s">
        <v>725</v>
      </c>
      <c r="D570" t="s">
        <v>72</v>
      </c>
      <c r="E570">
        <v>4</v>
      </c>
      <c r="F570" t="s">
        <v>118</v>
      </c>
      <c r="G570">
        <v>34.549999999999997</v>
      </c>
      <c r="H570">
        <v>26</v>
      </c>
      <c r="I570">
        <v>81</v>
      </c>
      <c r="J570">
        <v>169</v>
      </c>
      <c r="K570">
        <v>88</v>
      </c>
    </row>
    <row r="571" spans="1:11" x14ac:dyDescent="0.3">
      <c r="A571">
        <v>10.9</v>
      </c>
      <c r="B571" t="s">
        <v>70</v>
      </c>
      <c r="C571" t="s">
        <v>726</v>
      </c>
      <c r="D571" t="s">
        <v>87</v>
      </c>
      <c r="E571">
        <v>4</v>
      </c>
      <c r="F571" t="s">
        <v>112</v>
      </c>
      <c r="G571">
        <v>15.35</v>
      </c>
      <c r="H571">
        <v>47</v>
      </c>
      <c r="I571">
        <v>134</v>
      </c>
      <c r="J571">
        <v>398</v>
      </c>
      <c r="K571">
        <v>264</v>
      </c>
    </row>
    <row r="572" spans="1:11" x14ac:dyDescent="0.3">
      <c r="A572">
        <v>11.36</v>
      </c>
      <c r="B572" t="s">
        <v>70</v>
      </c>
      <c r="C572" t="s">
        <v>727</v>
      </c>
      <c r="D572" t="s">
        <v>90</v>
      </c>
      <c r="E572">
        <v>4</v>
      </c>
      <c r="F572" t="s">
        <v>472</v>
      </c>
      <c r="G572">
        <v>20.12</v>
      </c>
      <c r="H572">
        <v>32</v>
      </c>
      <c r="I572">
        <v>87</v>
      </c>
      <c r="J572">
        <v>177</v>
      </c>
      <c r="K572">
        <v>90</v>
      </c>
    </row>
    <row r="573" spans="1:11" x14ac:dyDescent="0.3">
      <c r="A573">
        <v>17.71</v>
      </c>
      <c r="B573" t="s">
        <v>70</v>
      </c>
      <c r="C573" t="s">
        <v>728</v>
      </c>
      <c r="D573" t="s">
        <v>93</v>
      </c>
      <c r="E573">
        <v>4</v>
      </c>
      <c r="F573" t="s">
        <v>156</v>
      </c>
      <c r="G573">
        <v>29.65</v>
      </c>
      <c r="H573">
        <v>14</v>
      </c>
      <c r="I573">
        <v>33</v>
      </c>
      <c r="J573">
        <v>78</v>
      </c>
      <c r="K573">
        <v>45</v>
      </c>
    </row>
    <row r="574" spans="1:11" x14ac:dyDescent="0.3">
      <c r="A574">
        <v>36.24</v>
      </c>
      <c r="B574" t="s">
        <v>70</v>
      </c>
      <c r="C574" t="s">
        <v>729</v>
      </c>
      <c r="D574" t="s">
        <v>90</v>
      </c>
      <c r="E574">
        <v>4</v>
      </c>
      <c r="F574" t="s">
        <v>352</v>
      </c>
      <c r="G574">
        <v>53.1</v>
      </c>
      <c r="H574">
        <v>17</v>
      </c>
      <c r="I574">
        <v>42</v>
      </c>
      <c r="J574">
        <v>88</v>
      </c>
      <c r="K574">
        <v>46</v>
      </c>
    </row>
    <row r="575" spans="1:11" x14ac:dyDescent="0.3">
      <c r="A575">
        <v>17.82</v>
      </c>
      <c r="B575" t="s">
        <v>70</v>
      </c>
      <c r="C575" t="s">
        <v>730</v>
      </c>
      <c r="D575" t="s">
        <v>72</v>
      </c>
      <c r="E575">
        <v>4</v>
      </c>
      <c r="F575" t="s">
        <v>96</v>
      </c>
      <c r="G575">
        <v>30.74</v>
      </c>
      <c r="H575">
        <v>73</v>
      </c>
      <c r="I575">
        <v>429</v>
      </c>
      <c r="J575">
        <v>491</v>
      </c>
      <c r="K575">
        <v>62</v>
      </c>
    </row>
    <row r="576" spans="1:11" x14ac:dyDescent="0.3">
      <c r="A576">
        <v>17.100000000000001</v>
      </c>
      <c r="B576" t="s">
        <v>70</v>
      </c>
      <c r="C576" t="s">
        <v>731</v>
      </c>
      <c r="D576" t="s">
        <v>72</v>
      </c>
      <c r="E576">
        <v>4</v>
      </c>
      <c r="F576" t="s">
        <v>118</v>
      </c>
      <c r="G576">
        <v>31.04</v>
      </c>
      <c r="H576">
        <v>21</v>
      </c>
      <c r="I576">
        <v>97</v>
      </c>
      <c r="J576">
        <v>137</v>
      </c>
      <c r="K576">
        <v>40</v>
      </c>
    </row>
    <row r="577" spans="1:11" x14ac:dyDescent="0.3">
      <c r="A577">
        <v>23.05</v>
      </c>
      <c r="B577" t="s">
        <v>70</v>
      </c>
      <c r="C577" t="s">
        <v>732</v>
      </c>
      <c r="D577" t="s">
        <v>72</v>
      </c>
      <c r="E577">
        <v>4</v>
      </c>
      <c r="F577" t="s">
        <v>197</v>
      </c>
      <c r="G577">
        <v>37.49</v>
      </c>
      <c r="H577">
        <v>40</v>
      </c>
      <c r="I577">
        <v>151</v>
      </c>
      <c r="J577">
        <v>185</v>
      </c>
      <c r="K577">
        <v>34</v>
      </c>
    </row>
    <row r="578" spans="1:11" x14ac:dyDescent="0.3">
      <c r="A578">
        <v>73.260000000000005</v>
      </c>
      <c r="B578" t="s">
        <v>70</v>
      </c>
      <c r="C578" t="s">
        <v>733</v>
      </c>
      <c r="D578" t="s">
        <v>90</v>
      </c>
      <c r="E578">
        <v>4</v>
      </c>
      <c r="F578" t="s">
        <v>472</v>
      </c>
      <c r="G578">
        <v>109.44</v>
      </c>
      <c r="H578">
        <v>19</v>
      </c>
      <c r="I578">
        <v>95</v>
      </c>
      <c r="J578">
        <v>180</v>
      </c>
      <c r="K578">
        <v>85</v>
      </c>
    </row>
    <row r="579" spans="1:11" x14ac:dyDescent="0.3">
      <c r="A579">
        <v>7.36</v>
      </c>
      <c r="B579" t="s">
        <v>70</v>
      </c>
      <c r="C579" t="s">
        <v>734</v>
      </c>
      <c r="D579" t="s">
        <v>130</v>
      </c>
      <c r="E579">
        <v>4</v>
      </c>
      <c r="F579" t="s">
        <v>192</v>
      </c>
      <c r="G579">
        <v>12.43</v>
      </c>
      <c r="H579">
        <v>88</v>
      </c>
      <c r="I579">
        <v>318</v>
      </c>
      <c r="J579">
        <v>458</v>
      </c>
      <c r="K579">
        <v>140</v>
      </c>
    </row>
    <row r="580" spans="1:11" x14ac:dyDescent="0.3">
      <c r="A580">
        <v>6.12</v>
      </c>
      <c r="B580" t="s">
        <v>70</v>
      </c>
      <c r="C580" t="s">
        <v>735</v>
      </c>
      <c r="D580" t="s">
        <v>83</v>
      </c>
      <c r="E580">
        <v>4</v>
      </c>
      <c r="F580" t="s">
        <v>307</v>
      </c>
      <c r="G580">
        <v>12.53</v>
      </c>
      <c r="H580">
        <v>2</v>
      </c>
      <c r="I580">
        <v>9</v>
      </c>
      <c r="J580">
        <v>27</v>
      </c>
      <c r="K580">
        <v>18</v>
      </c>
    </row>
    <row r="581" spans="1:11" x14ac:dyDescent="0.3">
      <c r="A581">
        <v>18.2</v>
      </c>
      <c r="B581" t="s">
        <v>70</v>
      </c>
      <c r="C581" t="s">
        <v>736</v>
      </c>
      <c r="D581" t="s">
        <v>80</v>
      </c>
      <c r="E581">
        <v>4</v>
      </c>
      <c r="F581" t="s">
        <v>160</v>
      </c>
      <c r="G581">
        <v>24</v>
      </c>
      <c r="H581">
        <v>84</v>
      </c>
      <c r="I581">
        <v>101</v>
      </c>
      <c r="J581">
        <v>375</v>
      </c>
      <c r="K581">
        <v>274</v>
      </c>
    </row>
    <row r="582" spans="1:11" x14ac:dyDescent="0.3">
      <c r="A582">
        <v>7.98</v>
      </c>
      <c r="B582" t="s">
        <v>70</v>
      </c>
      <c r="C582" t="s">
        <v>737</v>
      </c>
      <c r="D582" t="s">
        <v>90</v>
      </c>
      <c r="E582">
        <v>4</v>
      </c>
      <c r="F582" t="s">
        <v>91</v>
      </c>
      <c r="G582">
        <v>16.899999999999999</v>
      </c>
      <c r="H582">
        <v>47</v>
      </c>
      <c r="I582">
        <v>246</v>
      </c>
      <c r="J582">
        <v>327</v>
      </c>
      <c r="K582">
        <v>81</v>
      </c>
    </row>
    <row r="583" spans="1:11" x14ac:dyDescent="0.3">
      <c r="A583">
        <v>2.44</v>
      </c>
      <c r="B583" t="s">
        <v>70</v>
      </c>
      <c r="C583" t="s">
        <v>738</v>
      </c>
      <c r="D583" t="s">
        <v>83</v>
      </c>
      <c r="E583">
        <v>4</v>
      </c>
      <c r="F583" t="s">
        <v>120</v>
      </c>
      <c r="G583">
        <v>4.09</v>
      </c>
      <c r="H583">
        <v>41</v>
      </c>
      <c r="I583">
        <v>136</v>
      </c>
      <c r="J583">
        <v>184</v>
      </c>
      <c r="K583">
        <v>48</v>
      </c>
    </row>
    <row r="584" spans="1:11" x14ac:dyDescent="0.3">
      <c r="A584">
        <v>1.38</v>
      </c>
      <c r="B584" t="s">
        <v>70</v>
      </c>
      <c r="C584" t="s">
        <v>739</v>
      </c>
      <c r="D584" t="s">
        <v>72</v>
      </c>
      <c r="E584">
        <v>4</v>
      </c>
      <c r="F584" t="s">
        <v>75</v>
      </c>
      <c r="G584">
        <v>2.96</v>
      </c>
      <c r="H584">
        <v>88</v>
      </c>
      <c r="I584">
        <v>189</v>
      </c>
      <c r="J584">
        <v>485</v>
      </c>
      <c r="K584">
        <v>296</v>
      </c>
    </row>
    <row r="585" spans="1:11" x14ac:dyDescent="0.3">
      <c r="A585">
        <v>26.15</v>
      </c>
      <c r="B585" t="s">
        <v>70</v>
      </c>
      <c r="C585" t="s">
        <v>740</v>
      </c>
      <c r="D585" t="s">
        <v>93</v>
      </c>
      <c r="E585">
        <v>4</v>
      </c>
      <c r="F585" t="s">
        <v>94</v>
      </c>
      <c r="G585">
        <v>50.63</v>
      </c>
      <c r="H585">
        <v>4</v>
      </c>
      <c r="I585">
        <v>23</v>
      </c>
      <c r="J585">
        <v>33</v>
      </c>
      <c r="K585">
        <v>10</v>
      </c>
    </row>
    <row r="586" spans="1:11" x14ac:dyDescent="0.3">
      <c r="A586">
        <v>19.98</v>
      </c>
      <c r="B586" t="s">
        <v>70</v>
      </c>
      <c r="C586" t="s">
        <v>741</v>
      </c>
      <c r="D586" t="s">
        <v>72</v>
      </c>
      <c r="E586">
        <v>4</v>
      </c>
      <c r="F586" t="s">
        <v>73</v>
      </c>
      <c r="G586">
        <v>28.11</v>
      </c>
      <c r="H586">
        <v>75</v>
      </c>
      <c r="I586">
        <v>271</v>
      </c>
      <c r="J586">
        <v>366</v>
      </c>
      <c r="K586">
        <v>95</v>
      </c>
    </row>
    <row r="587" spans="1:11" x14ac:dyDescent="0.3">
      <c r="A587">
        <v>43.26</v>
      </c>
      <c r="B587" t="s">
        <v>70</v>
      </c>
      <c r="C587" t="s">
        <v>742</v>
      </c>
      <c r="D587" t="s">
        <v>90</v>
      </c>
      <c r="E587">
        <v>4</v>
      </c>
      <c r="F587" t="s">
        <v>149</v>
      </c>
      <c r="G587">
        <v>68.53</v>
      </c>
      <c r="H587">
        <v>4</v>
      </c>
      <c r="I587">
        <v>27</v>
      </c>
      <c r="J587">
        <v>30</v>
      </c>
      <c r="K587">
        <v>3</v>
      </c>
    </row>
    <row r="588" spans="1:11" x14ac:dyDescent="0.3">
      <c r="A588">
        <v>15.07</v>
      </c>
      <c r="B588" t="s">
        <v>70</v>
      </c>
      <c r="C588" t="s">
        <v>743</v>
      </c>
      <c r="D588" t="s">
        <v>80</v>
      </c>
      <c r="E588">
        <v>4</v>
      </c>
      <c r="F588" t="s">
        <v>81</v>
      </c>
      <c r="G588">
        <v>28.39</v>
      </c>
      <c r="H588">
        <v>16</v>
      </c>
      <c r="I588">
        <v>67</v>
      </c>
      <c r="J588">
        <v>118</v>
      </c>
      <c r="K588">
        <v>51</v>
      </c>
    </row>
    <row r="589" spans="1:11" x14ac:dyDescent="0.3">
      <c r="A589">
        <v>10.1</v>
      </c>
      <c r="B589" t="s">
        <v>70</v>
      </c>
      <c r="C589" t="s">
        <v>744</v>
      </c>
      <c r="D589" t="s">
        <v>77</v>
      </c>
      <c r="E589">
        <v>4</v>
      </c>
      <c r="F589" t="s">
        <v>140</v>
      </c>
      <c r="G589">
        <v>18.239999999999998</v>
      </c>
      <c r="H589">
        <v>65</v>
      </c>
      <c r="I589">
        <v>88</v>
      </c>
      <c r="J589">
        <v>408</v>
      </c>
      <c r="K589">
        <v>320</v>
      </c>
    </row>
    <row r="590" spans="1:11" x14ac:dyDescent="0.3">
      <c r="A590">
        <v>21.98</v>
      </c>
      <c r="B590" t="s">
        <v>70</v>
      </c>
      <c r="C590" t="s">
        <v>745</v>
      </c>
      <c r="D590" t="s">
        <v>87</v>
      </c>
      <c r="E590">
        <v>4</v>
      </c>
      <c r="F590" t="s">
        <v>237</v>
      </c>
      <c r="G590">
        <v>47.88</v>
      </c>
      <c r="H590">
        <v>89</v>
      </c>
      <c r="I590">
        <v>126</v>
      </c>
      <c r="J590">
        <v>395</v>
      </c>
      <c r="K590">
        <v>269</v>
      </c>
    </row>
    <row r="591" spans="1:11" x14ac:dyDescent="0.3">
      <c r="A591">
        <v>34.74</v>
      </c>
      <c r="B591" t="s">
        <v>70</v>
      </c>
      <c r="C591" t="s">
        <v>746</v>
      </c>
      <c r="D591" t="s">
        <v>93</v>
      </c>
      <c r="E591">
        <v>4</v>
      </c>
      <c r="F591" t="s">
        <v>222</v>
      </c>
      <c r="G591">
        <v>45.36</v>
      </c>
      <c r="H591">
        <v>7</v>
      </c>
      <c r="I591">
        <v>25</v>
      </c>
      <c r="J591">
        <v>39</v>
      </c>
      <c r="K591">
        <v>14</v>
      </c>
    </row>
    <row r="592" spans="1:11" x14ac:dyDescent="0.3">
      <c r="A592">
        <v>22.14</v>
      </c>
      <c r="B592" t="s">
        <v>70</v>
      </c>
      <c r="C592" t="s">
        <v>747</v>
      </c>
      <c r="D592" t="s">
        <v>90</v>
      </c>
      <c r="E592">
        <v>4</v>
      </c>
      <c r="F592" t="s">
        <v>189</v>
      </c>
      <c r="G592">
        <v>34.39</v>
      </c>
      <c r="H592">
        <v>26</v>
      </c>
      <c r="I592">
        <v>29</v>
      </c>
      <c r="J592">
        <v>141</v>
      </c>
      <c r="K592">
        <v>112</v>
      </c>
    </row>
    <row r="593" spans="1:11" x14ac:dyDescent="0.3">
      <c r="A593">
        <v>60.71</v>
      </c>
      <c r="B593" t="s">
        <v>70</v>
      </c>
      <c r="C593" t="s">
        <v>748</v>
      </c>
      <c r="D593" t="s">
        <v>90</v>
      </c>
      <c r="E593">
        <v>4</v>
      </c>
      <c r="F593" t="s">
        <v>127</v>
      </c>
      <c r="G593">
        <v>93.64</v>
      </c>
      <c r="H593">
        <v>25</v>
      </c>
      <c r="I593">
        <v>55</v>
      </c>
      <c r="J593">
        <v>121</v>
      </c>
      <c r="K593">
        <v>66</v>
      </c>
    </row>
    <row r="594" spans="1:11" x14ac:dyDescent="0.3">
      <c r="A594">
        <v>8.82</v>
      </c>
      <c r="B594" t="s">
        <v>70</v>
      </c>
      <c r="C594" t="s">
        <v>749</v>
      </c>
      <c r="D594" t="s">
        <v>80</v>
      </c>
      <c r="E594">
        <v>4</v>
      </c>
      <c r="F594" t="s">
        <v>81</v>
      </c>
      <c r="G594">
        <v>14.42</v>
      </c>
      <c r="H594">
        <v>40</v>
      </c>
      <c r="I594">
        <v>118</v>
      </c>
      <c r="J594">
        <v>229</v>
      </c>
      <c r="K594">
        <v>111</v>
      </c>
    </row>
    <row r="595" spans="1:11" x14ac:dyDescent="0.3">
      <c r="A595">
        <v>7.14</v>
      </c>
      <c r="B595" t="s">
        <v>70</v>
      </c>
      <c r="C595" t="s">
        <v>750</v>
      </c>
      <c r="D595" t="s">
        <v>130</v>
      </c>
      <c r="E595">
        <v>4</v>
      </c>
      <c r="F595" t="s">
        <v>248</v>
      </c>
      <c r="G595">
        <v>11.65</v>
      </c>
      <c r="H595">
        <v>4</v>
      </c>
      <c r="I595">
        <v>11</v>
      </c>
      <c r="J595">
        <v>21</v>
      </c>
      <c r="K595">
        <v>10</v>
      </c>
    </row>
    <row r="596" spans="1:11" x14ac:dyDescent="0.3">
      <c r="A596">
        <v>8.1300000000000008</v>
      </c>
      <c r="B596" t="s">
        <v>70</v>
      </c>
      <c r="C596" t="s">
        <v>751</v>
      </c>
      <c r="D596" t="s">
        <v>130</v>
      </c>
      <c r="E596">
        <v>4</v>
      </c>
      <c r="F596" t="s">
        <v>248</v>
      </c>
      <c r="G596">
        <v>14.63</v>
      </c>
      <c r="H596">
        <v>48</v>
      </c>
      <c r="I596">
        <v>165</v>
      </c>
      <c r="J596">
        <v>202</v>
      </c>
      <c r="K596">
        <v>37</v>
      </c>
    </row>
    <row r="597" spans="1:11" x14ac:dyDescent="0.3">
      <c r="A597">
        <v>29.87</v>
      </c>
      <c r="B597" t="s">
        <v>70</v>
      </c>
      <c r="C597" t="s">
        <v>752</v>
      </c>
      <c r="D597" t="s">
        <v>130</v>
      </c>
      <c r="E597">
        <v>4</v>
      </c>
      <c r="F597" t="s">
        <v>299</v>
      </c>
      <c r="G597">
        <v>48.45</v>
      </c>
      <c r="H597">
        <v>48</v>
      </c>
      <c r="I597">
        <v>68</v>
      </c>
      <c r="J597">
        <v>205</v>
      </c>
      <c r="K597">
        <v>137</v>
      </c>
    </row>
    <row r="598" spans="1:11" x14ac:dyDescent="0.3">
      <c r="A598">
        <v>7.83</v>
      </c>
      <c r="B598" t="s">
        <v>70</v>
      </c>
      <c r="C598" t="s">
        <v>753</v>
      </c>
      <c r="D598" t="s">
        <v>83</v>
      </c>
      <c r="E598">
        <v>4</v>
      </c>
      <c r="F598" t="s">
        <v>332</v>
      </c>
      <c r="G598">
        <v>11.87</v>
      </c>
      <c r="H598">
        <v>21</v>
      </c>
      <c r="I598">
        <v>72</v>
      </c>
      <c r="J598">
        <v>137</v>
      </c>
      <c r="K598">
        <v>65</v>
      </c>
    </row>
    <row r="599" spans="1:11" x14ac:dyDescent="0.3">
      <c r="A599">
        <v>13.57</v>
      </c>
      <c r="B599" t="s">
        <v>70</v>
      </c>
      <c r="C599" t="s">
        <v>754</v>
      </c>
      <c r="D599" t="s">
        <v>93</v>
      </c>
      <c r="E599">
        <v>4</v>
      </c>
      <c r="F599" t="s">
        <v>252</v>
      </c>
      <c r="G599">
        <v>28.26</v>
      </c>
      <c r="H599">
        <v>46</v>
      </c>
      <c r="I599">
        <v>208</v>
      </c>
      <c r="J599">
        <v>391</v>
      </c>
      <c r="K599">
        <v>183</v>
      </c>
    </row>
    <row r="600" spans="1:11" x14ac:dyDescent="0.3">
      <c r="A600">
        <v>7.2</v>
      </c>
      <c r="B600" t="s">
        <v>70</v>
      </c>
      <c r="C600" t="s">
        <v>755</v>
      </c>
      <c r="D600" t="s">
        <v>77</v>
      </c>
      <c r="E600">
        <v>4</v>
      </c>
      <c r="F600" t="s">
        <v>341</v>
      </c>
      <c r="G600">
        <v>12.42</v>
      </c>
      <c r="H600">
        <v>46</v>
      </c>
      <c r="I600">
        <v>105</v>
      </c>
      <c r="J600">
        <v>275</v>
      </c>
      <c r="K600">
        <v>170</v>
      </c>
    </row>
    <row r="601" spans="1:11" x14ac:dyDescent="0.3">
      <c r="A601">
        <v>4.9800000000000004</v>
      </c>
      <c r="B601" t="s">
        <v>70</v>
      </c>
      <c r="C601" t="s">
        <v>756</v>
      </c>
      <c r="D601" t="s">
        <v>87</v>
      </c>
      <c r="E601">
        <v>4</v>
      </c>
      <c r="F601" t="s">
        <v>88</v>
      </c>
      <c r="G601">
        <v>8.94</v>
      </c>
      <c r="H601">
        <v>25</v>
      </c>
      <c r="I601">
        <v>52</v>
      </c>
      <c r="J601">
        <v>104</v>
      </c>
      <c r="K601">
        <v>52</v>
      </c>
    </row>
    <row r="602" spans="1:11" x14ac:dyDescent="0.3">
      <c r="A602">
        <v>23.25</v>
      </c>
      <c r="B602" t="s">
        <v>70</v>
      </c>
      <c r="C602" t="s">
        <v>757</v>
      </c>
      <c r="D602" t="s">
        <v>130</v>
      </c>
      <c r="E602">
        <v>4</v>
      </c>
      <c r="F602" t="s">
        <v>173</v>
      </c>
      <c r="G602">
        <v>38.950000000000003</v>
      </c>
      <c r="H602">
        <v>55</v>
      </c>
      <c r="I602">
        <v>308</v>
      </c>
      <c r="J602">
        <v>387</v>
      </c>
      <c r="K602">
        <v>79</v>
      </c>
    </row>
    <row r="603" spans="1:11" x14ac:dyDescent="0.3">
      <c r="A603">
        <v>9.2200000000000006</v>
      </c>
      <c r="B603" t="s">
        <v>70</v>
      </c>
      <c r="C603" t="s">
        <v>758</v>
      </c>
      <c r="D603" t="s">
        <v>77</v>
      </c>
      <c r="E603">
        <v>4</v>
      </c>
      <c r="F603" t="s">
        <v>78</v>
      </c>
      <c r="G603">
        <v>11.99</v>
      </c>
      <c r="H603">
        <v>99</v>
      </c>
      <c r="I603">
        <v>298</v>
      </c>
      <c r="J603">
        <v>438</v>
      </c>
      <c r="K603">
        <v>140</v>
      </c>
    </row>
    <row r="604" spans="1:11" x14ac:dyDescent="0.3">
      <c r="A604">
        <v>18.88</v>
      </c>
      <c r="B604" t="s">
        <v>70</v>
      </c>
      <c r="C604" t="s">
        <v>759</v>
      </c>
      <c r="D604" t="s">
        <v>90</v>
      </c>
      <c r="E604">
        <v>4</v>
      </c>
      <c r="F604" t="s">
        <v>472</v>
      </c>
      <c r="G604">
        <v>39.15</v>
      </c>
      <c r="H604">
        <v>100</v>
      </c>
      <c r="I604">
        <v>238</v>
      </c>
      <c r="J604">
        <v>428</v>
      </c>
      <c r="K604">
        <v>190</v>
      </c>
    </row>
    <row r="605" spans="1:11" x14ac:dyDescent="0.3">
      <c r="A605">
        <v>10.84</v>
      </c>
      <c r="B605" t="s">
        <v>70</v>
      </c>
      <c r="C605" t="s">
        <v>760</v>
      </c>
      <c r="D605" t="s">
        <v>77</v>
      </c>
      <c r="E605">
        <v>4</v>
      </c>
      <c r="F605" t="s">
        <v>78</v>
      </c>
      <c r="G605">
        <v>19.440000000000001</v>
      </c>
      <c r="H605">
        <v>33</v>
      </c>
      <c r="I605">
        <v>83</v>
      </c>
      <c r="J605">
        <v>215</v>
      </c>
      <c r="K605">
        <v>132</v>
      </c>
    </row>
    <row r="606" spans="1:11" x14ac:dyDescent="0.3">
      <c r="A606">
        <v>6.65</v>
      </c>
      <c r="B606" t="s">
        <v>70</v>
      </c>
      <c r="C606" t="s">
        <v>761</v>
      </c>
      <c r="D606" t="s">
        <v>77</v>
      </c>
      <c r="E606">
        <v>4</v>
      </c>
      <c r="F606" t="s">
        <v>152</v>
      </c>
      <c r="G606">
        <v>12.45</v>
      </c>
      <c r="H606">
        <v>21</v>
      </c>
      <c r="I606">
        <v>68</v>
      </c>
      <c r="J606">
        <v>127</v>
      </c>
      <c r="K606">
        <v>59</v>
      </c>
    </row>
    <row r="607" spans="1:11" x14ac:dyDescent="0.3">
      <c r="A607">
        <v>13.63</v>
      </c>
      <c r="B607" t="s">
        <v>70</v>
      </c>
      <c r="C607" t="s">
        <v>762</v>
      </c>
      <c r="D607" t="s">
        <v>80</v>
      </c>
      <c r="E607">
        <v>4</v>
      </c>
      <c r="F607" t="s">
        <v>106</v>
      </c>
      <c r="G607">
        <v>29.41</v>
      </c>
      <c r="H607">
        <v>62</v>
      </c>
      <c r="I607">
        <v>156</v>
      </c>
      <c r="J607">
        <v>339</v>
      </c>
      <c r="K607">
        <v>183</v>
      </c>
    </row>
    <row r="608" spans="1:11" x14ac:dyDescent="0.3">
      <c r="A608">
        <v>16.5</v>
      </c>
      <c r="B608" t="s">
        <v>70</v>
      </c>
      <c r="C608" t="s">
        <v>763</v>
      </c>
      <c r="D608" t="s">
        <v>130</v>
      </c>
      <c r="E608">
        <v>4</v>
      </c>
      <c r="F608" t="s">
        <v>143</v>
      </c>
      <c r="G608">
        <v>25</v>
      </c>
      <c r="H608">
        <v>65</v>
      </c>
      <c r="I608">
        <v>241</v>
      </c>
      <c r="J608">
        <v>303</v>
      </c>
      <c r="K608">
        <v>62</v>
      </c>
    </row>
    <row r="609" spans="1:11" x14ac:dyDescent="0.3">
      <c r="A609">
        <v>77.45</v>
      </c>
      <c r="B609" t="s">
        <v>70</v>
      </c>
      <c r="C609" t="s">
        <v>764</v>
      </c>
      <c r="D609" t="s">
        <v>90</v>
      </c>
      <c r="E609">
        <v>4</v>
      </c>
      <c r="F609" t="s">
        <v>352</v>
      </c>
      <c r="G609">
        <v>114.95</v>
      </c>
      <c r="H609">
        <v>76</v>
      </c>
      <c r="I609">
        <v>243</v>
      </c>
      <c r="J609">
        <v>346</v>
      </c>
      <c r="K609">
        <v>103</v>
      </c>
    </row>
    <row r="610" spans="1:11" x14ac:dyDescent="0.3">
      <c r="A610">
        <v>13.64</v>
      </c>
      <c r="B610" t="s">
        <v>70</v>
      </c>
      <c r="C610" t="s">
        <v>765</v>
      </c>
      <c r="D610" t="s">
        <v>80</v>
      </c>
      <c r="E610">
        <v>4</v>
      </c>
      <c r="F610" t="s">
        <v>186</v>
      </c>
      <c r="G610">
        <v>26.56</v>
      </c>
      <c r="H610">
        <v>38</v>
      </c>
      <c r="I610">
        <v>228</v>
      </c>
      <c r="J610">
        <v>289</v>
      </c>
      <c r="K610">
        <v>61</v>
      </c>
    </row>
    <row r="611" spans="1:11" x14ac:dyDescent="0.3">
      <c r="A611">
        <v>8.59</v>
      </c>
      <c r="B611" t="s">
        <v>70</v>
      </c>
      <c r="C611" t="s">
        <v>766</v>
      </c>
      <c r="D611" t="s">
        <v>87</v>
      </c>
      <c r="E611">
        <v>4</v>
      </c>
      <c r="F611" t="s">
        <v>110</v>
      </c>
      <c r="G611">
        <v>17.96</v>
      </c>
      <c r="H611">
        <v>31</v>
      </c>
      <c r="I611">
        <v>77</v>
      </c>
      <c r="J611">
        <v>243</v>
      </c>
      <c r="K611">
        <v>166</v>
      </c>
    </row>
    <row r="612" spans="1:11" x14ac:dyDescent="0.3">
      <c r="A612">
        <v>21.28</v>
      </c>
      <c r="B612" t="s">
        <v>70</v>
      </c>
      <c r="C612" t="s">
        <v>767</v>
      </c>
      <c r="D612" t="s">
        <v>130</v>
      </c>
      <c r="E612">
        <v>4</v>
      </c>
      <c r="F612" t="s">
        <v>154</v>
      </c>
      <c r="G612">
        <v>45.74</v>
      </c>
      <c r="H612">
        <v>14</v>
      </c>
      <c r="I612">
        <v>29</v>
      </c>
      <c r="J612">
        <v>83</v>
      </c>
      <c r="K612">
        <v>54</v>
      </c>
    </row>
    <row r="613" spans="1:11" x14ac:dyDescent="0.3">
      <c r="A613">
        <v>8.07</v>
      </c>
      <c r="B613" t="s">
        <v>70</v>
      </c>
      <c r="C613" t="s">
        <v>768</v>
      </c>
      <c r="D613" t="s">
        <v>93</v>
      </c>
      <c r="E613">
        <v>4</v>
      </c>
      <c r="F613" t="s">
        <v>166</v>
      </c>
      <c r="G613">
        <v>11.59</v>
      </c>
      <c r="H613">
        <v>18</v>
      </c>
      <c r="I613">
        <v>93</v>
      </c>
      <c r="J613">
        <v>179</v>
      </c>
      <c r="K613">
        <v>86</v>
      </c>
    </row>
    <row r="614" spans="1:11" x14ac:dyDescent="0.3">
      <c r="A614">
        <v>2.76</v>
      </c>
      <c r="B614" t="s">
        <v>70</v>
      </c>
      <c r="C614" t="s">
        <v>769</v>
      </c>
      <c r="D614" t="s">
        <v>80</v>
      </c>
      <c r="E614">
        <v>4</v>
      </c>
      <c r="F614" t="s">
        <v>104</v>
      </c>
      <c r="G614">
        <v>5.65</v>
      </c>
      <c r="H614">
        <v>18</v>
      </c>
      <c r="I614">
        <v>84</v>
      </c>
      <c r="J614">
        <v>132</v>
      </c>
      <c r="K614">
        <v>48</v>
      </c>
    </row>
    <row r="615" spans="1:11" x14ac:dyDescent="0.3">
      <c r="A615">
        <v>37.78</v>
      </c>
      <c r="B615" t="s">
        <v>70</v>
      </c>
      <c r="C615" t="s">
        <v>770</v>
      </c>
      <c r="D615" t="s">
        <v>90</v>
      </c>
      <c r="E615">
        <v>4</v>
      </c>
      <c r="F615" t="s">
        <v>219</v>
      </c>
      <c r="G615">
        <v>53.51</v>
      </c>
      <c r="H615">
        <v>19</v>
      </c>
      <c r="I615">
        <v>104</v>
      </c>
      <c r="J615">
        <v>159</v>
      </c>
      <c r="K615">
        <v>55</v>
      </c>
    </row>
    <row r="616" spans="1:11" x14ac:dyDescent="0.3">
      <c r="A616">
        <v>6.09</v>
      </c>
      <c r="B616" t="s">
        <v>70</v>
      </c>
      <c r="C616" t="s">
        <v>771</v>
      </c>
      <c r="D616" t="s">
        <v>80</v>
      </c>
      <c r="E616">
        <v>4</v>
      </c>
      <c r="F616" t="s">
        <v>98</v>
      </c>
      <c r="G616">
        <v>12.65</v>
      </c>
      <c r="H616">
        <v>91</v>
      </c>
      <c r="I616">
        <v>383</v>
      </c>
      <c r="J616">
        <v>450</v>
      </c>
      <c r="K616">
        <v>67</v>
      </c>
    </row>
    <row r="617" spans="1:11" x14ac:dyDescent="0.3">
      <c r="A617">
        <v>1.27</v>
      </c>
      <c r="B617" t="s">
        <v>70</v>
      </c>
      <c r="C617" t="s">
        <v>772</v>
      </c>
      <c r="D617" t="s">
        <v>83</v>
      </c>
      <c r="E617">
        <v>4</v>
      </c>
      <c r="F617" t="s">
        <v>332</v>
      </c>
      <c r="G617">
        <v>2.48</v>
      </c>
      <c r="H617">
        <v>21</v>
      </c>
      <c r="I617">
        <v>58</v>
      </c>
      <c r="J617">
        <v>160</v>
      </c>
      <c r="K617">
        <v>102</v>
      </c>
    </row>
    <row r="618" spans="1:11" x14ac:dyDescent="0.3">
      <c r="A618">
        <v>11.82</v>
      </c>
      <c r="B618" t="s">
        <v>70</v>
      </c>
      <c r="C618" t="s">
        <v>773</v>
      </c>
      <c r="D618" t="s">
        <v>77</v>
      </c>
      <c r="E618">
        <v>4</v>
      </c>
      <c r="F618" t="s">
        <v>446</v>
      </c>
      <c r="G618">
        <v>19.809999999999999</v>
      </c>
      <c r="H618">
        <v>61</v>
      </c>
      <c r="I618">
        <v>100</v>
      </c>
      <c r="J618">
        <v>259</v>
      </c>
      <c r="K618">
        <v>159</v>
      </c>
    </row>
    <row r="619" spans="1:11" x14ac:dyDescent="0.3">
      <c r="A619">
        <v>57.82</v>
      </c>
      <c r="B619" t="s">
        <v>70</v>
      </c>
      <c r="C619" t="s">
        <v>774</v>
      </c>
      <c r="D619" t="s">
        <v>90</v>
      </c>
      <c r="E619">
        <v>4</v>
      </c>
      <c r="F619" t="s">
        <v>164</v>
      </c>
      <c r="G619">
        <v>80.069999999999993</v>
      </c>
      <c r="H619">
        <v>26</v>
      </c>
      <c r="I619">
        <v>84</v>
      </c>
      <c r="J619">
        <v>235</v>
      </c>
      <c r="K619">
        <v>151</v>
      </c>
    </row>
    <row r="620" spans="1:11" x14ac:dyDescent="0.3">
      <c r="A620">
        <v>8.4600000000000009</v>
      </c>
      <c r="B620" t="s">
        <v>70</v>
      </c>
      <c r="C620" t="s">
        <v>775</v>
      </c>
      <c r="D620" t="s">
        <v>83</v>
      </c>
      <c r="E620">
        <v>4</v>
      </c>
      <c r="F620" t="s">
        <v>120</v>
      </c>
      <c r="G620">
        <v>14.7</v>
      </c>
      <c r="H620">
        <v>70</v>
      </c>
      <c r="I620">
        <v>247</v>
      </c>
      <c r="J620">
        <v>461</v>
      </c>
      <c r="K620">
        <v>214</v>
      </c>
    </row>
    <row r="621" spans="1:11" x14ac:dyDescent="0.3">
      <c r="A621">
        <v>6.9</v>
      </c>
      <c r="B621" t="s">
        <v>70</v>
      </c>
      <c r="C621" t="s">
        <v>776</v>
      </c>
      <c r="D621" t="s">
        <v>93</v>
      </c>
      <c r="E621">
        <v>4</v>
      </c>
      <c r="F621" t="s">
        <v>125</v>
      </c>
      <c r="G621">
        <v>10.14</v>
      </c>
      <c r="H621">
        <v>21</v>
      </c>
      <c r="I621">
        <v>98</v>
      </c>
      <c r="J621">
        <v>205</v>
      </c>
      <c r="K621">
        <v>107</v>
      </c>
    </row>
    <row r="622" spans="1:11" x14ac:dyDescent="0.3">
      <c r="A622">
        <v>61.08</v>
      </c>
      <c r="B622" t="s">
        <v>70</v>
      </c>
      <c r="C622" t="s">
        <v>777</v>
      </c>
      <c r="D622" t="s">
        <v>90</v>
      </c>
      <c r="E622">
        <v>4</v>
      </c>
      <c r="F622" t="s">
        <v>164</v>
      </c>
      <c r="G622">
        <v>120.91</v>
      </c>
      <c r="H622">
        <v>7</v>
      </c>
      <c r="I622">
        <v>22</v>
      </c>
      <c r="J622">
        <v>49</v>
      </c>
      <c r="K622">
        <v>27</v>
      </c>
    </row>
    <row r="623" spans="1:11" x14ac:dyDescent="0.3">
      <c r="A623">
        <v>2.1800000000000002</v>
      </c>
      <c r="B623" t="s">
        <v>70</v>
      </c>
      <c r="C623" t="s">
        <v>778</v>
      </c>
      <c r="D623" t="s">
        <v>80</v>
      </c>
      <c r="E623">
        <v>4</v>
      </c>
      <c r="F623" t="s">
        <v>98</v>
      </c>
      <c r="G623">
        <v>4.37</v>
      </c>
      <c r="H623">
        <v>13</v>
      </c>
      <c r="I623">
        <v>42</v>
      </c>
      <c r="J623">
        <v>125</v>
      </c>
      <c r="K623">
        <v>83</v>
      </c>
    </row>
    <row r="624" spans="1:11" x14ac:dyDescent="0.3">
      <c r="A624">
        <v>17.22</v>
      </c>
      <c r="B624" t="s">
        <v>70</v>
      </c>
      <c r="C624" t="s">
        <v>779</v>
      </c>
      <c r="D624" t="s">
        <v>72</v>
      </c>
      <c r="E624">
        <v>4</v>
      </c>
      <c r="F624" t="s">
        <v>102</v>
      </c>
      <c r="G624">
        <v>31.03</v>
      </c>
      <c r="H624">
        <v>40</v>
      </c>
      <c r="I624">
        <v>165</v>
      </c>
      <c r="J624">
        <v>256</v>
      </c>
      <c r="K624">
        <v>91</v>
      </c>
    </row>
    <row r="625" spans="1:11" x14ac:dyDescent="0.3">
      <c r="A625">
        <v>4.63</v>
      </c>
      <c r="B625" t="s">
        <v>70</v>
      </c>
      <c r="C625" t="s">
        <v>780</v>
      </c>
      <c r="D625" t="s">
        <v>130</v>
      </c>
      <c r="E625">
        <v>4</v>
      </c>
      <c r="F625" t="s">
        <v>131</v>
      </c>
      <c r="G625">
        <v>9.0399999999999991</v>
      </c>
      <c r="H625">
        <v>53</v>
      </c>
      <c r="I625">
        <v>244</v>
      </c>
      <c r="J625">
        <v>307</v>
      </c>
      <c r="K625">
        <v>63</v>
      </c>
    </row>
    <row r="626" spans="1:11" x14ac:dyDescent="0.3">
      <c r="A626">
        <v>22.38</v>
      </c>
      <c r="B626" t="s">
        <v>70</v>
      </c>
      <c r="C626" t="s">
        <v>781</v>
      </c>
      <c r="D626" t="s">
        <v>72</v>
      </c>
      <c r="E626">
        <v>4</v>
      </c>
      <c r="F626" t="s">
        <v>102</v>
      </c>
      <c r="G626">
        <v>33.46</v>
      </c>
      <c r="H626">
        <v>17</v>
      </c>
      <c r="I626">
        <v>42</v>
      </c>
      <c r="J626">
        <v>112</v>
      </c>
      <c r="K626">
        <v>70</v>
      </c>
    </row>
    <row r="627" spans="1:11" x14ac:dyDescent="0.3">
      <c r="A627">
        <v>69.400000000000006</v>
      </c>
      <c r="B627" t="s">
        <v>70</v>
      </c>
      <c r="C627" t="s">
        <v>782</v>
      </c>
      <c r="D627" t="s">
        <v>90</v>
      </c>
      <c r="E627">
        <v>4</v>
      </c>
      <c r="F627" t="s">
        <v>164</v>
      </c>
      <c r="G627">
        <v>133.51</v>
      </c>
      <c r="H627">
        <v>64</v>
      </c>
      <c r="I627">
        <v>138</v>
      </c>
      <c r="J627">
        <v>462</v>
      </c>
      <c r="K627">
        <v>324</v>
      </c>
    </row>
    <row r="628" spans="1:11" x14ac:dyDescent="0.3">
      <c r="A628">
        <v>6.22</v>
      </c>
      <c r="B628" t="s">
        <v>70</v>
      </c>
      <c r="C628" t="s">
        <v>783</v>
      </c>
      <c r="D628" t="s">
        <v>87</v>
      </c>
      <c r="E628">
        <v>4</v>
      </c>
      <c r="F628" t="s">
        <v>337</v>
      </c>
      <c r="G628">
        <v>11.66</v>
      </c>
      <c r="H628">
        <v>34</v>
      </c>
      <c r="I628">
        <v>98</v>
      </c>
      <c r="J628">
        <v>215</v>
      </c>
      <c r="K628">
        <v>117</v>
      </c>
    </row>
    <row r="629" spans="1:11" x14ac:dyDescent="0.3">
      <c r="A629">
        <v>20.79</v>
      </c>
      <c r="B629" t="s">
        <v>70</v>
      </c>
      <c r="C629" t="s">
        <v>784</v>
      </c>
      <c r="D629" t="s">
        <v>72</v>
      </c>
      <c r="E629">
        <v>4</v>
      </c>
      <c r="F629" t="s">
        <v>463</v>
      </c>
      <c r="G629">
        <v>43.84</v>
      </c>
      <c r="H629">
        <v>7</v>
      </c>
      <c r="I629">
        <v>14</v>
      </c>
      <c r="J629">
        <v>71</v>
      </c>
      <c r="K629">
        <v>57</v>
      </c>
    </row>
    <row r="630" spans="1:11" x14ac:dyDescent="0.3">
      <c r="A630">
        <v>9.84</v>
      </c>
      <c r="B630" t="s">
        <v>70</v>
      </c>
      <c r="C630" t="s">
        <v>785</v>
      </c>
      <c r="D630" t="s">
        <v>93</v>
      </c>
      <c r="E630">
        <v>4</v>
      </c>
      <c r="F630" t="s">
        <v>108</v>
      </c>
      <c r="G630">
        <v>20.27</v>
      </c>
      <c r="H630">
        <v>5</v>
      </c>
      <c r="I630">
        <v>6</v>
      </c>
      <c r="J630">
        <v>41</v>
      </c>
      <c r="K630">
        <v>35</v>
      </c>
    </row>
    <row r="631" spans="1:11" x14ac:dyDescent="0.3">
      <c r="A631">
        <v>11.84</v>
      </c>
      <c r="B631" t="s">
        <v>70</v>
      </c>
      <c r="C631" t="s">
        <v>786</v>
      </c>
      <c r="D631" t="s">
        <v>80</v>
      </c>
      <c r="E631">
        <v>4</v>
      </c>
      <c r="F631" t="s">
        <v>106</v>
      </c>
      <c r="G631">
        <v>25.48</v>
      </c>
      <c r="H631">
        <v>27</v>
      </c>
      <c r="I631">
        <v>42</v>
      </c>
      <c r="J631">
        <v>154</v>
      </c>
      <c r="K631">
        <v>112</v>
      </c>
    </row>
    <row r="632" spans="1:11" x14ac:dyDescent="0.3">
      <c r="A632">
        <v>11.94</v>
      </c>
      <c r="B632" t="s">
        <v>70</v>
      </c>
      <c r="C632" t="s">
        <v>787</v>
      </c>
      <c r="D632" t="s">
        <v>80</v>
      </c>
      <c r="E632">
        <v>4</v>
      </c>
      <c r="F632" t="s">
        <v>106</v>
      </c>
      <c r="G632">
        <v>22.42</v>
      </c>
      <c r="H632">
        <v>11</v>
      </c>
      <c r="I632">
        <v>40</v>
      </c>
      <c r="J632">
        <v>48</v>
      </c>
      <c r="K632">
        <v>8</v>
      </c>
    </row>
    <row r="633" spans="1:11" x14ac:dyDescent="0.3">
      <c r="A633">
        <v>4.74</v>
      </c>
      <c r="B633" t="s">
        <v>70</v>
      </c>
      <c r="C633" t="s">
        <v>788</v>
      </c>
      <c r="D633" t="s">
        <v>93</v>
      </c>
      <c r="E633">
        <v>4</v>
      </c>
      <c r="F633" t="s">
        <v>414</v>
      </c>
      <c r="G633">
        <v>9.6300000000000008</v>
      </c>
      <c r="H633">
        <v>50</v>
      </c>
      <c r="I633">
        <v>94</v>
      </c>
      <c r="J633">
        <v>431</v>
      </c>
      <c r="K633">
        <v>337</v>
      </c>
    </row>
    <row r="634" spans="1:11" x14ac:dyDescent="0.3">
      <c r="A634">
        <v>11.86</v>
      </c>
      <c r="B634" t="s">
        <v>70</v>
      </c>
      <c r="C634" t="s">
        <v>789</v>
      </c>
      <c r="D634" t="s">
        <v>72</v>
      </c>
      <c r="E634">
        <v>4</v>
      </c>
      <c r="F634" t="s">
        <v>265</v>
      </c>
      <c r="G634">
        <v>24.73</v>
      </c>
      <c r="H634">
        <v>55</v>
      </c>
      <c r="I634">
        <v>280</v>
      </c>
      <c r="J634">
        <v>323</v>
      </c>
      <c r="K634">
        <v>43</v>
      </c>
    </row>
    <row r="635" spans="1:11" x14ac:dyDescent="0.3">
      <c r="A635">
        <v>23.79</v>
      </c>
      <c r="B635" t="s">
        <v>70</v>
      </c>
      <c r="C635" t="s">
        <v>790</v>
      </c>
      <c r="D635" t="s">
        <v>87</v>
      </c>
      <c r="E635">
        <v>4</v>
      </c>
      <c r="F635" t="s">
        <v>122</v>
      </c>
      <c r="G635">
        <v>51.96</v>
      </c>
      <c r="H635">
        <v>40</v>
      </c>
      <c r="I635">
        <v>204</v>
      </c>
      <c r="J635">
        <v>326</v>
      </c>
      <c r="K635">
        <v>122</v>
      </c>
    </row>
    <row r="636" spans="1:11" x14ac:dyDescent="0.3">
      <c r="A636">
        <v>19.43</v>
      </c>
      <c r="B636" t="s">
        <v>70</v>
      </c>
      <c r="C636" t="s">
        <v>791</v>
      </c>
      <c r="D636" t="s">
        <v>93</v>
      </c>
      <c r="E636">
        <v>4</v>
      </c>
      <c r="F636" t="s">
        <v>125</v>
      </c>
      <c r="G636">
        <v>30.49</v>
      </c>
      <c r="H636">
        <v>46</v>
      </c>
      <c r="I636">
        <v>126</v>
      </c>
      <c r="J636">
        <v>428</v>
      </c>
      <c r="K636">
        <v>302</v>
      </c>
    </row>
    <row r="637" spans="1:11" x14ac:dyDescent="0.3">
      <c r="A637">
        <v>7.25</v>
      </c>
      <c r="B637" t="s">
        <v>70</v>
      </c>
      <c r="C637" t="s">
        <v>792</v>
      </c>
      <c r="D637" t="s">
        <v>87</v>
      </c>
      <c r="E637">
        <v>4</v>
      </c>
      <c r="F637" t="s">
        <v>110</v>
      </c>
      <c r="G637">
        <v>10.58</v>
      </c>
      <c r="H637">
        <v>53</v>
      </c>
      <c r="I637">
        <v>117</v>
      </c>
      <c r="J637">
        <v>497</v>
      </c>
      <c r="K637">
        <v>380</v>
      </c>
    </row>
    <row r="638" spans="1:11" x14ac:dyDescent="0.3">
      <c r="A638">
        <v>1.67</v>
      </c>
      <c r="B638" t="s">
        <v>70</v>
      </c>
      <c r="C638" t="s">
        <v>793</v>
      </c>
      <c r="D638" t="s">
        <v>83</v>
      </c>
      <c r="E638">
        <v>4</v>
      </c>
      <c r="F638" t="s">
        <v>332</v>
      </c>
      <c r="G638">
        <v>2.77</v>
      </c>
      <c r="H638">
        <v>86</v>
      </c>
      <c r="I638">
        <v>98</v>
      </c>
      <c r="J638">
        <v>422</v>
      </c>
      <c r="K638">
        <v>324</v>
      </c>
    </row>
    <row r="639" spans="1:11" x14ac:dyDescent="0.3">
      <c r="A639">
        <v>5.93</v>
      </c>
      <c r="B639" t="s">
        <v>70</v>
      </c>
      <c r="C639" t="s">
        <v>794</v>
      </c>
      <c r="D639" t="s">
        <v>77</v>
      </c>
      <c r="E639">
        <v>4</v>
      </c>
      <c r="F639" t="s">
        <v>257</v>
      </c>
      <c r="G639">
        <v>10.28</v>
      </c>
      <c r="H639">
        <v>37</v>
      </c>
      <c r="I639">
        <v>123</v>
      </c>
      <c r="J639">
        <v>211</v>
      </c>
      <c r="K639">
        <v>88</v>
      </c>
    </row>
    <row r="640" spans="1:11" x14ac:dyDescent="0.3">
      <c r="A640">
        <v>10.09</v>
      </c>
      <c r="B640" t="s">
        <v>70</v>
      </c>
      <c r="C640" t="s">
        <v>795</v>
      </c>
      <c r="D640" t="s">
        <v>83</v>
      </c>
      <c r="E640">
        <v>4</v>
      </c>
      <c r="F640" t="s">
        <v>210</v>
      </c>
      <c r="G640">
        <v>21.09</v>
      </c>
      <c r="H640">
        <v>87</v>
      </c>
      <c r="I640">
        <v>189</v>
      </c>
      <c r="J640">
        <v>407</v>
      </c>
      <c r="K640">
        <v>218</v>
      </c>
    </row>
    <row r="641" spans="1:11" x14ac:dyDescent="0.3">
      <c r="A641">
        <v>18.98</v>
      </c>
      <c r="B641" t="s">
        <v>70</v>
      </c>
      <c r="C641" t="s">
        <v>796</v>
      </c>
      <c r="D641" t="s">
        <v>93</v>
      </c>
      <c r="E641">
        <v>4</v>
      </c>
      <c r="F641" t="s">
        <v>222</v>
      </c>
      <c r="G641">
        <v>33.950000000000003</v>
      </c>
      <c r="H641">
        <v>25</v>
      </c>
      <c r="I641">
        <v>80</v>
      </c>
      <c r="J641">
        <v>114</v>
      </c>
      <c r="K641">
        <v>34</v>
      </c>
    </row>
    <row r="642" spans="1:11" x14ac:dyDescent="0.3">
      <c r="A642">
        <v>13.18</v>
      </c>
      <c r="B642" t="s">
        <v>70</v>
      </c>
      <c r="C642" t="s">
        <v>797</v>
      </c>
      <c r="D642" t="s">
        <v>72</v>
      </c>
      <c r="E642">
        <v>4</v>
      </c>
      <c r="F642" t="s">
        <v>96</v>
      </c>
      <c r="G642">
        <v>19.72</v>
      </c>
      <c r="H642">
        <v>39</v>
      </c>
      <c r="I642">
        <v>218</v>
      </c>
      <c r="J642">
        <v>379</v>
      </c>
      <c r="K642">
        <v>161</v>
      </c>
    </row>
    <row r="643" spans="1:11" x14ac:dyDescent="0.3">
      <c r="A643">
        <v>17.47</v>
      </c>
      <c r="B643" t="s">
        <v>70</v>
      </c>
      <c r="C643" t="s">
        <v>798</v>
      </c>
      <c r="D643" t="s">
        <v>80</v>
      </c>
      <c r="E643">
        <v>4</v>
      </c>
      <c r="F643" t="s">
        <v>186</v>
      </c>
      <c r="G643">
        <v>24.42</v>
      </c>
      <c r="H643">
        <v>18</v>
      </c>
      <c r="I643">
        <v>20</v>
      </c>
      <c r="J643">
        <v>144</v>
      </c>
      <c r="K643">
        <v>124</v>
      </c>
    </row>
    <row r="644" spans="1:11" x14ac:dyDescent="0.3">
      <c r="A644">
        <v>10.6</v>
      </c>
      <c r="B644" t="s">
        <v>70</v>
      </c>
      <c r="C644" t="s">
        <v>799</v>
      </c>
      <c r="D644" t="s">
        <v>77</v>
      </c>
      <c r="E644">
        <v>5</v>
      </c>
      <c r="F644" t="s">
        <v>78</v>
      </c>
      <c r="G644">
        <v>16.760000000000002</v>
      </c>
      <c r="H644">
        <v>26</v>
      </c>
      <c r="I644">
        <v>137</v>
      </c>
      <c r="J644">
        <v>196</v>
      </c>
      <c r="K644">
        <v>59</v>
      </c>
    </row>
    <row r="645" spans="1:11" x14ac:dyDescent="0.3">
      <c r="A645">
        <v>17.2</v>
      </c>
      <c r="B645" t="s">
        <v>70</v>
      </c>
      <c r="C645" t="s">
        <v>800</v>
      </c>
      <c r="D645" t="s">
        <v>130</v>
      </c>
      <c r="E645">
        <v>5</v>
      </c>
      <c r="F645" t="s">
        <v>143</v>
      </c>
      <c r="G645">
        <v>23.67</v>
      </c>
      <c r="H645">
        <v>49</v>
      </c>
      <c r="I645">
        <v>250</v>
      </c>
      <c r="J645">
        <v>488</v>
      </c>
      <c r="K645">
        <v>238</v>
      </c>
    </row>
    <row r="646" spans="1:11" x14ac:dyDescent="0.3">
      <c r="A646">
        <v>8.33</v>
      </c>
      <c r="B646" t="s">
        <v>70</v>
      </c>
      <c r="C646" t="s">
        <v>801</v>
      </c>
      <c r="D646" t="s">
        <v>77</v>
      </c>
      <c r="E646">
        <v>5</v>
      </c>
      <c r="F646" t="s">
        <v>257</v>
      </c>
      <c r="G646">
        <v>12.46</v>
      </c>
      <c r="H646">
        <v>64</v>
      </c>
      <c r="I646">
        <v>167</v>
      </c>
      <c r="J646">
        <v>332</v>
      </c>
      <c r="K646">
        <v>165</v>
      </c>
    </row>
    <row r="647" spans="1:11" x14ac:dyDescent="0.3">
      <c r="A647">
        <v>3.96</v>
      </c>
      <c r="B647" t="s">
        <v>70</v>
      </c>
      <c r="C647" t="s">
        <v>802</v>
      </c>
      <c r="D647" t="s">
        <v>87</v>
      </c>
      <c r="E647">
        <v>5</v>
      </c>
      <c r="F647" t="s">
        <v>147</v>
      </c>
      <c r="G647">
        <v>5.92</v>
      </c>
      <c r="H647">
        <v>9</v>
      </c>
      <c r="I647">
        <v>37</v>
      </c>
      <c r="J647">
        <v>46</v>
      </c>
      <c r="K647">
        <v>9</v>
      </c>
    </row>
    <row r="648" spans="1:11" x14ac:dyDescent="0.3">
      <c r="A648">
        <v>22.87</v>
      </c>
      <c r="B648" t="s">
        <v>70</v>
      </c>
      <c r="C648" t="s">
        <v>803</v>
      </c>
      <c r="D648" t="s">
        <v>72</v>
      </c>
      <c r="E648">
        <v>5</v>
      </c>
      <c r="F648" t="s">
        <v>197</v>
      </c>
      <c r="G648">
        <v>32.799999999999997</v>
      </c>
      <c r="H648">
        <v>5</v>
      </c>
      <c r="I648">
        <v>23</v>
      </c>
      <c r="J648">
        <v>34</v>
      </c>
      <c r="K648">
        <v>11</v>
      </c>
    </row>
    <row r="649" spans="1:11" x14ac:dyDescent="0.3">
      <c r="A649">
        <v>2.27</v>
      </c>
      <c r="B649" t="s">
        <v>70</v>
      </c>
      <c r="C649" t="s">
        <v>804</v>
      </c>
      <c r="D649" t="s">
        <v>83</v>
      </c>
      <c r="E649">
        <v>5</v>
      </c>
      <c r="F649" t="s">
        <v>175</v>
      </c>
      <c r="G649">
        <v>3.49</v>
      </c>
      <c r="H649">
        <v>28</v>
      </c>
      <c r="I649">
        <v>211</v>
      </c>
      <c r="J649">
        <v>241</v>
      </c>
      <c r="K649">
        <v>30</v>
      </c>
    </row>
    <row r="650" spans="1:11" x14ac:dyDescent="0.3">
      <c r="A650">
        <v>59</v>
      </c>
      <c r="B650" t="s">
        <v>70</v>
      </c>
      <c r="C650" t="s">
        <v>805</v>
      </c>
      <c r="D650" t="s">
        <v>90</v>
      </c>
      <c r="E650">
        <v>5</v>
      </c>
      <c r="F650" t="s">
        <v>177</v>
      </c>
      <c r="G650">
        <v>105.65</v>
      </c>
      <c r="H650">
        <v>25</v>
      </c>
      <c r="I650">
        <v>134</v>
      </c>
      <c r="J650">
        <v>216</v>
      </c>
      <c r="K650">
        <v>82</v>
      </c>
    </row>
    <row r="651" spans="1:11" x14ac:dyDescent="0.3">
      <c r="A651">
        <v>3.66</v>
      </c>
      <c r="B651" t="s">
        <v>70</v>
      </c>
      <c r="C651" t="s">
        <v>806</v>
      </c>
      <c r="D651" t="s">
        <v>80</v>
      </c>
      <c r="E651">
        <v>5</v>
      </c>
      <c r="F651" t="s">
        <v>160</v>
      </c>
      <c r="G651">
        <v>5.64</v>
      </c>
      <c r="H651">
        <v>64</v>
      </c>
      <c r="I651">
        <v>297</v>
      </c>
      <c r="J651">
        <v>440</v>
      </c>
      <c r="K651">
        <v>143</v>
      </c>
    </row>
    <row r="652" spans="1:11" x14ac:dyDescent="0.3">
      <c r="A652">
        <v>67.599999999999994</v>
      </c>
      <c r="B652" t="s">
        <v>70</v>
      </c>
      <c r="C652" t="s">
        <v>807</v>
      </c>
      <c r="D652" t="s">
        <v>90</v>
      </c>
      <c r="E652">
        <v>5</v>
      </c>
      <c r="F652" t="s">
        <v>189</v>
      </c>
      <c r="G652">
        <v>133.03</v>
      </c>
      <c r="H652">
        <v>85</v>
      </c>
      <c r="I652">
        <v>213</v>
      </c>
      <c r="J652">
        <v>412</v>
      </c>
      <c r="K652">
        <v>199</v>
      </c>
    </row>
    <row r="653" spans="1:11" x14ac:dyDescent="0.3">
      <c r="A653">
        <v>12.98</v>
      </c>
      <c r="B653" t="s">
        <v>70</v>
      </c>
      <c r="C653" t="s">
        <v>808</v>
      </c>
      <c r="D653" t="s">
        <v>83</v>
      </c>
      <c r="E653">
        <v>5</v>
      </c>
      <c r="F653" t="s">
        <v>307</v>
      </c>
      <c r="G653">
        <v>24.22</v>
      </c>
      <c r="H653">
        <v>56</v>
      </c>
      <c r="I653">
        <v>204</v>
      </c>
      <c r="J653">
        <v>354</v>
      </c>
      <c r="K653">
        <v>150</v>
      </c>
    </row>
    <row r="654" spans="1:11" x14ac:dyDescent="0.3">
      <c r="A654">
        <v>1.79</v>
      </c>
      <c r="B654" t="s">
        <v>70</v>
      </c>
      <c r="C654" t="s">
        <v>809</v>
      </c>
      <c r="D654" t="s">
        <v>80</v>
      </c>
      <c r="E654">
        <v>5</v>
      </c>
      <c r="F654" t="s">
        <v>136</v>
      </c>
      <c r="G654">
        <v>2.5</v>
      </c>
      <c r="H654">
        <v>40</v>
      </c>
      <c r="I654">
        <v>63</v>
      </c>
      <c r="J654">
        <v>178</v>
      </c>
      <c r="K654">
        <v>115</v>
      </c>
    </row>
    <row r="655" spans="1:11" x14ac:dyDescent="0.3">
      <c r="A655">
        <v>33.67</v>
      </c>
      <c r="B655" t="s">
        <v>70</v>
      </c>
      <c r="C655" t="s">
        <v>810</v>
      </c>
      <c r="D655" t="s">
        <v>93</v>
      </c>
      <c r="E655">
        <v>5</v>
      </c>
      <c r="F655" t="s">
        <v>252</v>
      </c>
      <c r="G655">
        <v>53.9</v>
      </c>
      <c r="H655">
        <v>24</v>
      </c>
      <c r="I655">
        <v>85</v>
      </c>
      <c r="J655">
        <v>155</v>
      </c>
      <c r="K655">
        <v>70</v>
      </c>
    </row>
    <row r="656" spans="1:11" x14ac:dyDescent="0.3">
      <c r="A656">
        <v>1.36</v>
      </c>
      <c r="B656" t="s">
        <v>70</v>
      </c>
      <c r="C656" t="s">
        <v>811</v>
      </c>
      <c r="D656" t="s">
        <v>83</v>
      </c>
      <c r="E656">
        <v>5</v>
      </c>
      <c r="F656" t="s">
        <v>120</v>
      </c>
      <c r="G656">
        <v>2.39</v>
      </c>
      <c r="H656">
        <v>87</v>
      </c>
      <c r="I656">
        <v>245</v>
      </c>
      <c r="J656">
        <v>378</v>
      </c>
      <c r="K656">
        <v>133</v>
      </c>
    </row>
    <row r="657" spans="1:11" x14ac:dyDescent="0.3">
      <c r="A657">
        <v>10.79</v>
      </c>
      <c r="B657" t="s">
        <v>70</v>
      </c>
      <c r="C657" t="s">
        <v>812</v>
      </c>
      <c r="D657" t="s">
        <v>77</v>
      </c>
      <c r="E657">
        <v>5</v>
      </c>
      <c r="F657" t="s">
        <v>257</v>
      </c>
      <c r="G657">
        <v>20.77</v>
      </c>
      <c r="H657">
        <v>18</v>
      </c>
      <c r="I657">
        <v>29</v>
      </c>
      <c r="J657">
        <v>76</v>
      </c>
      <c r="K657">
        <v>47</v>
      </c>
    </row>
    <row r="658" spans="1:11" x14ac:dyDescent="0.3">
      <c r="A658">
        <v>12.6</v>
      </c>
      <c r="B658" t="s">
        <v>70</v>
      </c>
      <c r="C658" t="s">
        <v>813</v>
      </c>
      <c r="D658" t="s">
        <v>80</v>
      </c>
      <c r="E658">
        <v>5</v>
      </c>
      <c r="F658" t="s">
        <v>98</v>
      </c>
      <c r="G658">
        <v>24.52</v>
      </c>
      <c r="H658">
        <v>79</v>
      </c>
      <c r="I658">
        <v>227</v>
      </c>
      <c r="J658">
        <v>351</v>
      </c>
      <c r="K658">
        <v>124</v>
      </c>
    </row>
    <row r="659" spans="1:11" x14ac:dyDescent="0.3">
      <c r="A659">
        <v>17.36</v>
      </c>
      <c r="B659" t="s">
        <v>70</v>
      </c>
      <c r="C659" t="s">
        <v>814</v>
      </c>
      <c r="D659" t="s">
        <v>87</v>
      </c>
      <c r="E659">
        <v>5</v>
      </c>
      <c r="F659" t="s">
        <v>88</v>
      </c>
      <c r="G659">
        <v>25.5</v>
      </c>
      <c r="H659">
        <v>17</v>
      </c>
      <c r="I659">
        <v>32</v>
      </c>
      <c r="J659">
        <v>142</v>
      </c>
      <c r="K659">
        <v>110</v>
      </c>
    </row>
    <row r="660" spans="1:11" x14ac:dyDescent="0.3">
      <c r="A660">
        <v>29.94</v>
      </c>
      <c r="B660" t="s">
        <v>70</v>
      </c>
      <c r="C660" t="s">
        <v>815</v>
      </c>
      <c r="D660" t="s">
        <v>130</v>
      </c>
      <c r="E660">
        <v>5</v>
      </c>
      <c r="F660" t="s">
        <v>290</v>
      </c>
      <c r="G660">
        <v>45.17</v>
      </c>
      <c r="H660">
        <v>30</v>
      </c>
      <c r="I660">
        <v>143</v>
      </c>
      <c r="J660">
        <v>226</v>
      </c>
      <c r="K660">
        <v>83</v>
      </c>
    </row>
    <row r="661" spans="1:11" x14ac:dyDescent="0.3">
      <c r="A661">
        <v>15.39</v>
      </c>
      <c r="B661" t="s">
        <v>70</v>
      </c>
      <c r="C661" t="s">
        <v>816</v>
      </c>
      <c r="D661" t="s">
        <v>80</v>
      </c>
      <c r="E661">
        <v>5</v>
      </c>
      <c r="F661" t="s">
        <v>160</v>
      </c>
      <c r="G661">
        <v>28.86</v>
      </c>
      <c r="H661">
        <v>18</v>
      </c>
      <c r="I661">
        <v>47</v>
      </c>
      <c r="J661">
        <v>106</v>
      </c>
      <c r="K661">
        <v>59</v>
      </c>
    </row>
    <row r="662" spans="1:11" x14ac:dyDescent="0.3">
      <c r="A662">
        <v>61.97</v>
      </c>
      <c r="B662" t="s">
        <v>70</v>
      </c>
      <c r="C662" t="s">
        <v>817</v>
      </c>
      <c r="D662" t="s">
        <v>90</v>
      </c>
      <c r="E662">
        <v>5</v>
      </c>
      <c r="F662" t="s">
        <v>149</v>
      </c>
      <c r="G662">
        <v>110.17</v>
      </c>
      <c r="H662">
        <v>98</v>
      </c>
      <c r="I662">
        <v>220</v>
      </c>
      <c r="J662">
        <v>466</v>
      </c>
      <c r="K662">
        <v>246</v>
      </c>
    </row>
    <row r="663" spans="1:11" x14ac:dyDescent="0.3">
      <c r="A663">
        <v>15.51</v>
      </c>
      <c r="B663" t="s">
        <v>70</v>
      </c>
      <c r="C663" t="s">
        <v>818</v>
      </c>
      <c r="D663" t="s">
        <v>93</v>
      </c>
      <c r="E663">
        <v>5</v>
      </c>
      <c r="F663" t="s">
        <v>94</v>
      </c>
      <c r="G663">
        <v>30.54</v>
      </c>
      <c r="H663">
        <v>48</v>
      </c>
      <c r="I663">
        <v>204</v>
      </c>
      <c r="J663">
        <v>343</v>
      </c>
      <c r="K663">
        <v>139</v>
      </c>
    </row>
    <row r="664" spans="1:11" x14ac:dyDescent="0.3">
      <c r="A664">
        <v>14.1</v>
      </c>
      <c r="B664" t="s">
        <v>70</v>
      </c>
      <c r="C664" t="s">
        <v>819</v>
      </c>
      <c r="D664" t="s">
        <v>87</v>
      </c>
      <c r="E664">
        <v>5</v>
      </c>
      <c r="F664" t="s">
        <v>122</v>
      </c>
      <c r="G664">
        <v>22.51</v>
      </c>
      <c r="H664">
        <v>85</v>
      </c>
      <c r="I664">
        <v>301</v>
      </c>
      <c r="J664">
        <v>458</v>
      </c>
      <c r="K664">
        <v>157</v>
      </c>
    </row>
    <row r="665" spans="1:11" x14ac:dyDescent="0.3">
      <c r="A665">
        <v>7.42</v>
      </c>
      <c r="B665" t="s">
        <v>70</v>
      </c>
      <c r="C665" t="s">
        <v>820</v>
      </c>
      <c r="D665" t="s">
        <v>72</v>
      </c>
      <c r="E665">
        <v>5</v>
      </c>
      <c r="F665" t="s">
        <v>102</v>
      </c>
      <c r="G665">
        <v>12.12</v>
      </c>
      <c r="H665">
        <v>21</v>
      </c>
      <c r="I665">
        <v>76</v>
      </c>
      <c r="J665">
        <v>93</v>
      </c>
      <c r="K665">
        <v>17</v>
      </c>
    </row>
    <row r="666" spans="1:11" x14ac:dyDescent="0.3">
      <c r="A666">
        <v>7.47</v>
      </c>
      <c r="B666" t="s">
        <v>70</v>
      </c>
      <c r="C666" t="s">
        <v>821</v>
      </c>
      <c r="D666" t="s">
        <v>80</v>
      </c>
      <c r="E666">
        <v>5</v>
      </c>
      <c r="F666" t="s">
        <v>186</v>
      </c>
      <c r="G666">
        <v>13.03</v>
      </c>
      <c r="H666">
        <v>44</v>
      </c>
      <c r="I666">
        <v>78</v>
      </c>
      <c r="J666">
        <v>316</v>
      </c>
      <c r="K666">
        <v>238</v>
      </c>
    </row>
    <row r="667" spans="1:11" x14ac:dyDescent="0.3">
      <c r="A667">
        <v>3.84</v>
      </c>
      <c r="B667" t="s">
        <v>70</v>
      </c>
      <c r="C667" t="s">
        <v>822</v>
      </c>
      <c r="D667" t="s">
        <v>83</v>
      </c>
      <c r="E667">
        <v>5</v>
      </c>
      <c r="F667" t="s">
        <v>332</v>
      </c>
      <c r="G667">
        <v>5.26</v>
      </c>
      <c r="H667">
        <v>31</v>
      </c>
      <c r="I667">
        <v>84</v>
      </c>
      <c r="J667">
        <v>141</v>
      </c>
      <c r="K667">
        <v>57</v>
      </c>
    </row>
    <row r="668" spans="1:11" x14ac:dyDescent="0.3">
      <c r="A668">
        <v>14.51</v>
      </c>
      <c r="B668" t="s">
        <v>70</v>
      </c>
      <c r="C668" t="s">
        <v>823</v>
      </c>
      <c r="D668" t="s">
        <v>130</v>
      </c>
      <c r="E668">
        <v>5</v>
      </c>
      <c r="F668" t="s">
        <v>214</v>
      </c>
      <c r="G668">
        <v>25.95</v>
      </c>
      <c r="H668">
        <v>34</v>
      </c>
      <c r="I668">
        <v>240</v>
      </c>
      <c r="J668">
        <v>279</v>
      </c>
      <c r="K668">
        <v>39</v>
      </c>
    </row>
    <row r="669" spans="1:11" x14ac:dyDescent="0.3">
      <c r="A669">
        <v>10.14</v>
      </c>
      <c r="B669" t="s">
        <v>70</v>
      </c>
      <c r="C669" t="s">
        <v>824</v>
      </c>
      <c r="D669" t="s">
        <v>77</v>
      </c>
      <c r="E669">
        <v>5</v>
      </c>
      <c r="F669" t="s">
        <v>116</v>
      </c>
      <c r="G669">
        <v>18.04</v>
      </c>
      <c r="H669">
        <v>24</v>
      </c>
      <c r="I669">
        <v>91</v>
      </c>
      <c r="J669">
        <v>135</v>
      </c>
      <c r="K669">
        <v>44</v>
      </c>
    </row>
    <row r="670" spans="1:11" x14ac:dyDescent="0.3">
      <c r="A670">
        <v>1.92</v>
      </c>
      <c r="B670" t="s">
        <v>70</v>
      </c>
      <c r="C670" t="s">
        <v>825</v>
      </c>
      <c r="D670" t="s">
        <v>72</v>
      </c>
      <c r="E670">
        <v>5</v>
      </c>
      <c r="F670" t="s">
        <v>239</v>
      </c>
      <c r="G670">
        <v>3.91</v>
      </c>
      <c r="H670">
        <v>20</v>
      </c>
      <c r="I670">
        <v>69</v>
      </c>
      <c r="J670">
        <v>90</v>
      </c>
      <c r="K670">
        <v>21</v>
      </c>
    </row>
    <row r="671" spans="1:11" x14ac:dyDescent="0.3">
      <c r="A671">
        <v>8.42</v>
      </c>
      <c r="B671" t="s">
        <v>70</v>
      </c>
      <c r="C671" t="s">
        <v>826</v>
      </c>
      <c r="D671" t="s">
        <v>77</v>
      </c>
      <c r="E671">
        <v>5</v>
      </c>
      <c r="F671" t="s">
        <v>262</v>
      </c>
      <c r="G671">
        <v>11.82</v>
      </c>
      <c r="H671">
        <v>45</v>
      </c>
      <c r="I671">
        <v>187</v>
      </c>
      <c r="J671">
        <v>247</v>
      </c>
      <c r="K671">
        <v>60</v>
      </c>
    </row>
    <row r="672" spans="1:11" x14ac:dyDescent="0.3">
      <c r="A672">
        <v>40.840000000000003</v>
      </c>
      <c r="B672" t="s">
        <v>70</v>
      </c>
      <c r="C672" t="s">
        <v>827</v>
      </c>
      <c r="D672" t="s">
        <v>90</v>
      </c>
      <c r="E672">
        <v>5</v>
      </c>
      <c r="F672" t="s">
        <v>127</v>
      </c>
      <c r="G672">
        <v>53.48</v>
      </c>
      <c r="H672">
        <v>20</v>
      </c>
      <c r="I672">
        <v>159</v>
      </c>
      <c r="J672">
        <v>200</v>
      </c>
      <c r="K672">
        <v>41</v>
      </c>
    </row>
    <row r="673" spans="1:11" x14ac:dyDescent="0.3">
      <c r="A673">
        <v>7.26</v>
      </c>
      <c r="B673" t="s">
        <v>70</v>
      </c>
      <c r="C673" t="s">
        <v>828</v>
      </c>
      <c r="D673" t="s">
        <v>77</v>
      </c>
      <c r="E673">
        <v>5</v>
      </c>
      <c r="F673" t="s">
        <v>116</v>
      </c>
      <c r="G673">
        <v>10.48</v>
      </c>
      <c r="H673">
        <v>7</v>
      </c>
      <c r="I673">
        <v>14</v>
      </c>
      <c r="J673">
        <v>73</v>
      </c>
      <c r="K673">
        <v>59</v>
      </c>
    </row>
    <row r="674" spans="1:11" x14ac:dyDescent="0.3">
      <c r="A674">
        <v>9.42</v>
      </c>
      <c r="B674" t="s">
        <v>70</v>
      </c>
      <c r="C674" t="s">
        <v>829</v>
      </c>
      <c r="D674" t="s">
        <v>83</v>
      </c>
      <c r="E674">
        <v>5</v>
      </c>
      <c r="F674" t="s">
        <v>307</v>
      </c>
      <c r="G674">
        <v>19.3</v>
      </c>
      <c r="H674">
        <v>19</v>
      </c>
      <c r="I674">
        <v>52</v>
      </c>
      <c r="J674">
        <v>85</v>
      </c>
      <c r="K674">
        <v>33</v>
      </c>
    </row>
    <row r="675" spans="1:11" x14ac:dyDescent="0.3">
      <c r="A675">
        <v>39.76</v>
      </c>
      <c r="B675" t="s">
        <v>70</v>
      </c>
      <c r="C675" t="s">
        <v>830</v>
      </c>
      <c r="D675" t="s">
        <v>90</v>
      </c>
      <c r="E675">
        <v>5</v>
      </c>
      <c r="F675" t="s">
        <v>133</v>
      </c>
      <c r="G675">
        <v>69.66</v>
      </c>
      <c r="H675">
        <v>34</v>
      </c>
      <c r="I675">
        <v>180</v>
      </c>
      <c r="J675">
        <v>341</v>
      </c>
      <c r="K675">
        <v>161</v>
      </c>
    </row>
    <row r="676" spans="1:11" x14ac:dyDescent="0.3">
      <c r="A676">
        <v>19.690000000000001</v>
      </c>
      <c r="B676" t="s">
        <v>70</v>
      </c>
      <c r="C676" t="s">
        <v>831</v>
      </c>
      <c r="D676" t="s">
        <v>130</v>
      </c>
      <c r="E676">
        <v>5</v>
      </c>
      <c r="F676" t="s">
        <v>248</v>
      </c>
      <c r="G676">
        <v>27.45</v>
      </c>
      <c r="H676">
        <v>42</v>
      </c>
      <c r="I676">
        <v>99</v>
      </c>
      <c r="J676">
        <v>263</v>
      </c>
      <c r="K676">
        <v>164</v>
      </c>
    </row>
    <row r="677" spans="1:11" x14ac:dyDescent="0.3">
      <c r="A677">
        <v>1.71</v>
      </c>
      <c r="B677" t="s">
        <v>70</v>
      </c>
      <c r="C677" t="s">
        <v>832</v>
      </c>
      <c r="D677" t="s">
        <v>72</v>
      </c>
      <c r="E677">
        <v>5</v>
      </c>
      <c r="F677" t="s">
        <v>265</v>
      </c>
      <c r="G677">
        <v>2.48</v>
      </c>
      <c r="H677">
        <v>9</v>
      </c>
      <c r="I677">
        <v>36</v>
      </c>
      <c r="J677">
        <v>63</v>
      </c>
      <c r="K677">
        <v>27</v>
      </c>
    </row>
    <row r="678" spans="1:11" x14ac:dyDescent="0.3">
      <c r="A678">
        <v>6.12</v>
      </c>
      <c r="B678" t="s">
        <v>70</v>
      </c>
      <c r="C678" t="s">
        <v>833</v>
      </c>
      <c r="D678" t="s">
        <v>130</v>
      </c>
      <c r="E678">
        <v>5</v>
      </c>
      <c r="F678" t="s">
        <v>299</v>
      </c>
      <c r="G678">
        <v>8.16</v>
      </c>
      <c r="H678">
        <v>84</v>
      </c>
      <c r="I678">
        <v>217</v>
      </c>
      <c r="J678">
        <v>471</v>
      </c>
      <c r="K678">
        <v>254</v>
      </c>
    </row>
    <row r="679" spans="1:11" x14ac:dyDescent="0.3">
      <c r="A679">
        <v>14.15</v>
      </c>
      <c r="B679" t="s">
        <v>70</v>
      </c>
      <c r="C679" t="s">
        <v>834</v>
      </c>
      <c r="D679" t="s">
        <v>130</v>
      </c>
      <c r="E679">
        <v>5</v>
      </c>
      <c r="F679" t="s">
        <v>192</v>
      </c>
      <c r="G679">
        <v>23.4</v>
      </c>
      <c r="H679">
        <v>58</v>
      </c>
      <c r="I679">
        <v>70</v>
      </c>
      <c r="J679">
        <v>302</v>
      </c>
      <c r="K679">
        <v>232</v>
      </c>
    </row>
    <row r="680" spans="1:11" x14ac:dyDescent="0.3">
      <c r="A680">
        <v>29.31</v>
      </c>
      <c r="B680" t="s">
        <v>70</v>
      </c>
      <c r="C680" t="s">
        <v>835</v>
      </c>
      <c r="D680" t="s">
        <v>90</v>
      </c>
      <c r="E680">
        <v>5</v>
      </c>
      <c r="F680" t="s">
        <v>91</v>
      </c>
      <c r="G680">
        <v>41.41</v>
      </c>
      <c r="H680">
        <v>77</v>
      </c>
      <c r="I680">
        <v>376</v>
      </c>
      <c r="J680">
        <v>484</v>
      </c>
      <c r="K680">
        <v>108</v>
      </c>
    </row>
    <row r="681" spans="1:11" x14ac:dyDescent="0.3">
      <c r="A681">
        <v>15.05</v>
      </c>
      <c r="B681" t="s">
        <v>70</v>
      </c>
      <c r="C681" t="s">
        <v>836</v>
      </c>
      <c r="D681" t="s">
        <v>72</v>
      </c>
      <c r="E681">
        <v>5</v>
      </c>
      <c r="F681" t="s">
        <v>463</v>
      </c>
      <c r="G681">
        <v>27.38</v>
      </c>
      <c r="H681">
        <v>27</v>
      </c>
      <c r="I681">
        <v>158</v>
      </c>
      <c r="J681">
        <v>190</v>
      </c>
      <c r="K681">
        <v>32</v>
      </c>
    </row>
    <row r="682" spans="1:11" x14ac:dyDescent="0.3">
      <c r="A682">
        <v>21.38</v>
      </c>
      <c r="B682" t="s">
        <v>70</v>
      </c>
      <c r="C682" t="s">
        <v>837</v>
      </c>
      <c r="D682" t="s">
        <v>87</v>
      </c>
      <c r="E682">
        <v>5</v>
      </c>
      <c r="F682" t="s">
        <v>138</v>
      </c>
      <c r="G682">
        <v>30.98</v>
      </c>
      <c r="H682">
        <v>32</v>
      </c>
      <c r="I682">
        <v>134</v>
      </c>
      <c r="J682">
        <v>176</v>
      </c>
      <c r="K682">
        <v>42</v>
      </c>
    </row>
    <row r="683" spans="1:11" x14ac:dyDescent="0.3">
      <c r="A683">
        <v>52.59</v>
      </c>
      <c r="B683" t="s">
        <v>70</v>
      </c>
      <c r="C683" t="s">
        <v>838</v>
      </c>
      <c r="D683" t="s">
        <v>90</v>
      </c>
      <c r="E683">
        <v>5</v>
      </c>
      <c r="F683" t="s">
        <v>127</v>
      </c>
      <c r="G683">
        <v>69.39</v>
      </c>
      <c r="H683">
        <v>44</v>
      </c>
      <c r="I683">
        <v>246</v>
      </c>
      <c r="J683">
        <v>359</v>
      </c>
      <c r="K683">
        <v>113</v>
      </c>
    </row>
    <row r="684" spans="1:11" x14ac:dyDescent="0.3">
      <c r="A684">
        <v>32.74</v>
      </c>
      <c r="B684" t="s">
        <v>70</v>
      </c>
      <c r="C684" t="s">
        <v>839</v>
      </c>
      <c r="D684" t="s">
        <v>90</v>
      </c>
      <c r="E684">
        <v>5</v>
      </c>
      <c r="F684" t="s">
        <v>219</v>
      </c>
      <c r="G684">
        <v>53.72</v>
      </c>
      <c r="H684">
        <v>7</v>
      </c>
      <c r="I684">
        <v>18</v>
      </c>
      <c r="J684">
        <v>49</v>
      </c>
      <c r="K684">
        <v>31</v>
      </c>
    </row>
    <row r="685" spans="1:11" x14ac:dyDescent="0.3">
      <c r="A685">
        <v>70.83</v>
      </c>
      <c r="B685" t="s">
        <v>70</v>
      </c>
      <c r="C685" t="s">
        <v>840</v>
      </c>
      <c r="D685" t="s">
        <v>90</v>
      </c>
      <c r="E685">
        <v>5</v>
      </c>
      <c r="F685" t="s">
        <v>472</v>
      </c>
      <c r="G685">
        <v>121.38</v>
      </c>
      <c r="H685">
        <v>74</v>
      </c>
      <c r="I685">
        <v>156</v>
      </c>
      <c r="J685">
        <v>403</v>
      </c>
      <c r="K685">
        <v>247</v>
      </c>
    </row>
    <row r="686" spans="1:11" x14ac:dyDescent="0.3">
      <c r="A686">
        <v>21.98</v>
      </c>
      <c r="B686" t="s">
        <v>70</v>
      </c>
      <c r="C686" t="s">
        <v>841</v>
      </c>
      <c r="D686" t="s">
        <v>93</v>
      </c>
      <c r="E686">
        <v>5</v>
      </c>
      <c r="F686" t="s">
        <v>222</v>
      </c>
      <c r="G686">
        <v>39.36</v>
      </c>
      <c r="H686">
        <v>57</v>
      </c>
      <c r="I686">
        <v>128</v>
      </c>
      <c r="J686">
        <v>292</v>
      </c>
      <c r="K686">
        <v>164</v>
      </c>
    </row>
    <row r="687" spans="1:11" x14ac:dyDescent="0.3">
      <c r="A687">
        <v>17.510000000000002</v>
      </c>
      <c r="B687" t="s">
        <v>70</v>
      </c>
      <c r="C687" t="s">
        <v>842</v>
      </c>
      <c r="D687" t="s">
        <v>130</v>
      </c>
      <c r="E687">
        <v>5</v>
      </c>
      <c r="F687" t="s">
        <v>154</v>
      </c>
      <c r="G687">
        <v>24.08</v>
      </c>
      <c r="H687">
        <v>36</v>
      </c>
      <c r="I687">
        <v>200</v>
      </c>
      <c r="J687">
        <v>321</v>
      </c>
      <c r="K687">
        <v>121</v>
      </c>
    </row>
    <row r="688" spans="1:11" x14ac:dyDescent="0.3">
      <c r="A688">
        <v>2.33</v>
      </c>
      <c r="B688" t="s">
        <v>70</v>
      </c>
      <c r="C688" t="s">
        <v>843</v>
      </c>
      <c r="D688" t="s">
        <v>77</v>
      </c>
      <c r="E688">
        <v>5</v>
      </c>
      <c r="F688" t="s">
        <v>349</v>
      </c>
      <c r="G688">
        <v>3.84</v>
      </c>
      <c r="H688">
        <v>3</v>
      </c>
      <c r="I688">
        <v>29</v>
      </c>
      <c r="J688">
        <v>35</v>
      </c>
      <c r="K688">
        <v>6</v>
      </c>
    </row>
    <row r="689" spans="1:11" x14ac:dyDescent="0.3">
      <c r="A689">
        <v>33.409999999999997</v>
      </c>
      <c r="B689" t="s">
        <v>70</v>
      </c>
      <c r="C689" t="s">
        <v>844</v>
      </c>
      <c r="D689" t="s">
        <v>93</v>
      </c>
      <c r="E689">
        <v>5</v>
      </c>
      <c r="F689" t="s">
        <v>222</v>
      </c>
      <c r="G689">
        <v>70.430000000000007</v>
      </c>
      <c r="H689">
        <v>93</v>
      </c>
      <c r="I689">
        <v>279</v>
      </c>
      <c r="J689">
        <v>499</v>
      </c>
      <c r="K689">
        <v>220</v>
      </c>
    </row>
    <row r="690" spans="1:11" x14ac:dyDescent="0.3">
      <c r="A690">
        <v>12.43</v>
      </c>
      <c r="B690" t="s">
        <v>70</v>
      </c>
      <c r="C690" t="s">
        <v>845</v>
      </c>
      <c r="D690" t="s">
        <v>87</v>
      </c>
      <c r="E690">
        <v>5</v>
      </c>
      <c r="F690" t="s">
        <v>237</v>
      </c>
      <c r="G690">
        <v>19.75</v>
      </c>
      <c r="H690">
        <v>98</v>
      </c>
      <c r="I690">
        <v>336</v>
      </c>
      <c r="J690">
        <v>404</v>
      </c>
      <c r="K690">
        <v>68</v>
      </c>
    </row>
    <row r="691" spans="1:11" x14ac:dyDescent="0.3">
      <c r="A691">
        <v>11.25</v>
      </c>
      <c r="B691" t="s">
        <v>70</v>
      </c>
      <c r="C691" t="s">
        <v>846</v>
      </c>
      <c r="D691" t="s">
        <v>80</v>
      </c>
      <c r="E691">
        <v>5</v>
      </c>
      <c r="F691" t="s">
        <v>160</v>
      </c>
      <c r="G691">
        <v>19.32</v>
      </c>
      <c r="H691">
        <v>71</v>
      </c>
      <c r="I691">
        <v>298</v>
      </c>
      <c r="J691">
        <v>388</v>
      </c>
      <c r="K691">
        <v>90</v>
      </c>
    </row>
    <row r="692" spans="1:11" x14ac:dyDescent="0.3">
      <c r="A692">
        <v>15.6</v>
      </c>
      <c r="B692" t="s">
        <v>70</v>
      </c>
      <c r="C692" t="s">
        <v>847</v>
      </c>
      <c r="D692" t="s">
        <v>72</v>
      </c>
      <c r="E692">
        <v>5</v>
      </c>
      <c r="F692" t="s">
        <v>118</v>
      </c>
      <c r="G692">
        <v>20.86</v>
      </c>
      <c r="H692">
        <v>57</v>
      </c>
      <c r="I692">
        <v>332</v>
      </c>
      <c r="J692">
        <v>471</v>
      </c>
      <c r="K692">
        <v>139</v>
      </c>
    </row>
    <row r="693" spans="1:11" x14ac:dyDescent="0.3">
      <c r="A693">
        <v>9.89</v>
      </c>
      <c r="B693" t="s">
        <v>70</v>
      </c>
      <c r="C693" t="s">
        <v>848</v>
      </c>
      <c r="D693" t="s">
        <v>80</v>
      </c>
      <c r="E693">
        <v>5</v>
      </c>
      <c r="F693" t="s">
        <v>356</v>
      </c>
      <c r="G693">
        <v>20.11</v>
      </c>
      <c r="H693">
        <v>89</v>
      </c>
      <c r="I693">
        <v>290</v>
      </c>
      <c r="J693">
        <v>494</v>
      </c>
      <c r="K693">
        <v>204</v>
      </c>
    </row>
    <row r="694" spans="1:11" x14ac:dyDescent="0.3">
      <c r="A694">
        <v>24.55</v>
      </c>
      <c r="B694" t="s">
        <v>70</v>
      </c>
      <c r="C694" t="s">
        <v>849</v>
      </c>
      <c r="D694" t="s">
        <v>87</v>
      </c>
      <c r="E694">
        <v>5</v>
      </c>
      <c r="F694" t="s">
        <v>122</v>
      </c>
      <c r="G694">
        <v>36.31</v>
      </c>
      <c r="H694">
        <v>28</v>
      </c>
      <c r="I694">
        <v>79</v>
      </c>
      <c r="J694">
        <v>151</v>
      </c>
      <c r="K694">
        <v>72</v>
      </c>
    </row>
    <row r="695" spans="1:11" x14ac:dyDescent="0.3">
      <c r="A695">
        <v>9.0500000000000007</v>
      </c>
      <c r="B695" t="s">
        <v>70</v>
      </c>
      <c r="C695" t="s">
        <v>850</v>
      </c>
      <c r="D695" t="s">
        <v>93</v>
      </c>
      <c r="E695">
        <v>5</v>
      </c>
      <c r="F695" t="s">
        <v>166</v>
      </c>
      <c r="G695">
        <v>16.64</v>
      </c>
      <c r="H695">
        <v>53</v>
      </c>
      <c r="I695">
        <v>188</v>
      </c>
      <c r="J695">
        <v>426</v>
      </c>
      <c r="K695">
        <v>238</v>
      </c>
    </row>
    <row r="696" spans="1:11" x14ac:dyDescent="0.3">
      <c r="A696">
        <v>8.93</v>
      </c>
      <c r="B696" t="s">
        <v>70</v>
      </c>
      <c r="C696" t="s">
        <v>851</v>
      </c>
      <c r="D696" t="s">
        <v>80</v>
      </c>
      <c r="E696">
        <v>5</v>
      </c>
      <c r="F696" t="s">
        <v>104</v>
      </c>
      <c r="G696">
        <v>16.55</v>
      </c>
      <c r="H696">
        <v>3</v>
      </c>
      <c r="I696">
        <v>6</v>
      </c>
      <c r="J696">
        <v>35</v>
      </c>
      <c r="K696">
        <v>29</v>
      </c>
    </row>
    <row r="697" spans="1:11" x14ac:dyDescent="0.3">
      <c r="A697">
        <v>9.9</v>
      </c>
      <c r="B697" t="s">
        <v>70</v>
      </c>
      <c r="C697" t="s">
        <v>852</v>
      </c>
      <c r="D697" t="s">
        <v>72</v>
      </c>
      <c r="E697">
        <v>5</v>
      </c>
      <c r="F697" t="s">
        <v>168</v>
      </c>
      <c r="G697">
        <v>14.34</v>
      </c>
      <c r="H697">
        <v>57</v>
      </c>
      <c r="I697">
        <v>298</v>
      </c>
      <c r="J697">
        <v>372</v>
      </c>
      <c r="K697">
        <v>74</v>
      </c>
    </row>
    <row r="698" spans="1:11" x14ac:dyDescent="0.3">
      <c r="A698">
        <v>18.68</v>
      </c>
      <c r="B698" t="s">
        <v>70</v>
      </c>
      <c r="C698" t="s">
        <v>853</v>
      </c>
      <c r="D698" t="s">
        <v>80</v>
      </c>
      <c r="E698">
        <v>5</v>
      </c>
      <c r="F698" t="s">
        <v>186</v>
      </c>
      <c r="G698">
        <v>34.57</v>
      </c>
      <c r="H698">
        <v>87</v>
      </c>
      <c r="I698">
        <v>190</v>
      </c>
      <c r="J698">
        <v>494</v>
      </c>
      <c r="K698">
        <v>304</v>
      </c>
    </row>
    <row r="699" spans="1:11" x14ac:dyDescent="0.3">
      <c r="A699">
        <v>18.2</v>
      </c>
      <c r="B699" t="s">
        <v>70</v>
      </c>
      <c r="C699" t="s">
        <v>854</v>
      </c>
      <c r="D699" t="s">
        <v>80</v>
      </c>
      <c r="E699">
        <v>5</v>
      </c>
      <c r="F699" t="s">
        <v>356</v>
      </c>
      <c r="G699">
        <v>30.52</v>
      </c>
      <c r="H699">
        <v>75</v>
      </c>
      <c r="I699">
        <v>149</v>
      </c>
      <c r="J699">
        <v>467</v>
      </c>
      <c r="K699">
        <v>318</v>
      </c>
    </row>
    <row r="700" spans="1:11" x14ac:dyDescent="0.3">
      <c r="A700">
        <v>8.59</v>
      </c>
      <c r="B700" t="s">
        <v>70</v>
      </c>
      <c r="C700" t="s">
        <v>855</v>
      </c>
      <c r="D700" t="s">
        <v>80</v>
      </c>
      <c r="E700">
        <v>5</v>
      </c>
      <c r="F700" t="s">
        <v>356</v>
      </c>
      <c r="G700">
        <v>11.65</v>
      </c>
      <c r="H700">
        <v>61</v>
      </c>
      <c r="I700">
        <v>69</v>
      </c>
      <c r="J700">
        <v>382</v>
      </c>
      <c r="K700">
        <v>313</v>
      </c>
    </row>
    <row r="701" spans="1:11" x14ac:dyDescent="0.3">
      <c r="A701">
        <v>9.07</v>
      </c>
      <c r="B701" t="s">
        <v>70</v>
      </c>
      <c r="C701" t="s">
        <v>856</v>
      </c>
      <c r="D701" t="s">
        <v>130</v>
      </c>
      <c r="E701">
        <v>5</v>
      </c>
      <c r="F701" t="s">
        <v>131</v>
      </c>
      <c r="G701">
        <v>14.61</v>
      </c>
      <c r="H701">
        <v>25</v>
      </c>
      <c r="I701">
        <v>51</v>
      </c>
      <c r="J701">
        <v>142</v>
      </c>
      <c r="K701">
        <v>91</v>
      </c>
    </row>
    <row r="702" spans="1:11" x14ac:dyDescent="0.3">
      <c r="A702">
        <v>21.16</v>
      </c>
      <c r="B702" t="s">
        <v>70</v>
      </c>
      <c r="C702" t="s">
        <v>857</v>
      </c>
      <c r="D702" t="s">
        <v>87</v>
      </c>
      <c r="E702">
        <v>5</v>
      </c>
      <c r="F702" t="s">
        <v>110</v>
      </c>
      <c r="G702">
        <v>32.83</v>
      </c>
      <c r="H702">
        <v>108</v>
      </c>
      <c r="I702">
        <v>332</v>
      </c>
      <c r="J702">
        <v>482</v>
      </c>
      <c r="K702">
        <v>150</v>
      </c>
    </row>
    <row r="703" spans="1:11" x14ac:dyDescent="0.3">
      <c r="A703">
        <v>38.93</v>
      </c>
      <c r="B703" t="s">
        <v>70</v>
      </c>
      <c r="C703" t="s">
        <v>858</v>
      </c>
      <c r="D703" t="s">
        <v>90</v>
      </c>
      <c r="E703">
        <v>5</v>
      </c>
      <c r="F703" t="s">
        <v>133</v>
      </c>
      <c r="G703">
        <v>84.78</v>
      </c>
      <c r="H703">
        <v>39</v>
      </c>
      <c r="I703">
        <v>196</v>
      </c>
      <c r="J703">
        <v>220</v>
      </c>
      <c r="K703">
        <v>24</v>
      </c>
    </row>
    <row r="704" spans="1:11" x14ac:dyDescent="0.3">
      <c r="A704">
        <v>5.55</v>
      </c>
      <c r="B704" t="s">
        <v>70</v>
      </c>
      <c r="C704" t="s">
        <v>859</v>
      </c>
      <c r="D704" t="s">
        <v>83</v>
      </c>
      <c r="E704">
        <v>5</v>
      </c>
      <c r="F704" t="s">
        <v>206</v>
      </c>
      <c r="G704">
        <v>7.38</v>
      </c>
      <c r="H704">
        <v>65</v>
      </c>
      <c r="I704">
        <v>167</v>
      </c>
      <c r="J704">
        <v>323</v>
      </c>
      <c r="K704">
        <v>156</v>
      </c>
    </row>
    <row r="705" spans="1:11" x14ac:dyDescent="0.3">
      <c r="A705">
        <v>29.71</v>
      </c>
      <c r="B705" t="s">
        <v>70</v>
      </c>
      <c r="C705" t="s">
        <v>860</v>
      </c>
      <c r="D705" t="s">
        <v>90</v>
      </c>
      <c r="E705">
        <v>5</v>
      </c>
      <c r="F705" t="s">
        <v>133</v>
      </c>
      <c r="G705">
        <v>46.01</v>
      </c>
      <c r="H705">
        <v>30</v>
      </c>
      <c r="I705">
        <v>74</v>
      </c>
      <c r="J705">
        <v>234</v>
      </c>
      <c r="K705">
        <v>160</v>
      </c>
    </row>
    <row r="706" spans="1:11" x14ac:dyDescent="0.3">
      <c r="A706">
        <v>2.1800000000000002</v>
      </c>
      <c r="B706" t="s">
        <v>70</v>
      </c>
      <c r="C706" t="s">
        <v>861</v>
      </c>
      <c r="D706" t="s">
        <v>77</v>
      </c>
      <c r="E706">
        <v>5</v>
      </c>
      <c r="F706" t="s">
        <v>180</v>
      </c>
      <c r="G706">
        <v>4.68</v>
      </c>
      <c r="H706">
        <v>27</v>
      </c>
      <c r="I706">
        <v>131</v>
      </c>
      <c r="J706">
        <v>229</v>
      </c>
      <c r="K706">
        <v>98</v>
      </c>
    </row>
    <row r="707" spans="1:11" x14ac:dyDescent="0.3">
      <c r="A707">
        <v>4.71</v>
      </c>
      <c r="B707" t="s">
        <v>70</v>
      </c>
      <c r="C707" t="s">
        <v>862</v>
      </c>
      <c r="D707" t="s">
        <v>93</v>
      </c>
      <c r="E707">
        <v>5</v>
      </c>
      <c r="F707" t="s">
        <v>252</v>
      </c>
      <c r="G707">
        <v>8.82</v>
      </c>
      <c r="H707">
        <v>12</v>
      </c>
      <c r="I707">
        <v>39</v>
      </c>
      <c r="J707">
        <v>101</v>
      </c>
      <c r="K707">
        <v>62</v>
      </c>
    </row>
    <row r="708" spans="1:11" x14ac:dyDescent="0.3">
      <c r="A708">
        <v>5.49</v>
      </c>
      <c r="B708" t="s">
        <v>70</v>
      </c>
      <c r="C708" t="s">
        <v>863</v>
      </c>
      <c r="D708" t="s">
        <v>80</v>
      </c>
      <c r="E708">
        <v>5</v>
      </c>
      <c r="F708" t="s">
        <v>160</v>
      </c>
      <c r="G708">
        <v>8.19</v>
      </c>
      <c r="H708">
        <v>86</v>
      </c>
      <c r="I708">
        <v>143</v>
      </c>
      <c r="J708">
        <v>408</v>
      </c>
      <c r="K708">
        <v>265</v>
      </c>
    </row>
    <row r="709" spans="1:11" x14ac:dyDescent="0.3">
      <c r="A709">
        <v>30.85</v>
      </c>
      <c r="B709" t="s">
        <v>70</v>
      </c>
      <c r="C709" t="s">
        <v>864</v>
      </c>
      <c r="D709" t="s">
        <v>90</v>
      </c>
      <c r="E709">
        <v>5</v>
      </c>
      <c r="F709" t="s">
        <v>164</v>
      </c>
      <c r="G709">
        <v>55.56</v>
      </c>
      <c r="H709">
        <v>30</v>
      </c>
      <c r="I709">
        <v>46</v>
      </c>
      <c r="J709">
        <v>130</v>
      </c>
      <c r="K709">
        <v>84</v>
      </c>
    </row>
    <row r="710" spans="1:11" x14ac:dyDescent="0.3">
      <c r="A710">
        <v>21.06</v>
      </c>
      <c r="B710" t="s">
        <v>70</v>
      </c>
      <c r="C710" t="s">
        <v>865</v>
      </c>
      <c r="D710" t="s">
        <v>72</v>
      </c>
      <c r="E710">
        <v>5</v>
      </c>
      <c r="F710" t="s">
        <v>463</v>
      </c>
      <c r="G710">
        <v>42.71</v>
      </c>
      <c r="H710">
        <v>14</v>
      </c>
      <c r="I710">
        <v>50</v>
      </c>
      <c r="J710">
        <v>95</v>
      </c>
      <c r="K710">
        <v>45</v>
      </c>
    </row>
    <row r="711" spans="1:11" x14ac:dyDescent="0.3">
      <c r="A711">
        <v>8.6999999999999993</v>
      </c>
      <c r="B711" t="s">
        <v>70</v>
      </c>
      <c r="C711" t="s">
        <v>866</v>
      </c>
      <c r="D711" t="s">
        <v>77</v>
      </c>
      <c r="E711">
        <v>5</v>
      </c>
      <c r="F711" t="s">
        <v>262</v>
      </c>
      <c r="G711">
        <v>15.08</v>
      </c>
      <c r="H711">
        <v>93</v>
      </c>
      <c r="I711">
        <v>181</v>
      </c>
      <c r="J711">
        <v>433</v>
      </c>
      <c r="K711">
        <v>252</v>
      </c>
    </row>
    <row r="712" spans="1:11" x14ac:dyDescent="0.3">
      <c r="A712">
        <v>2.2799999999999998</v>
      </c>
      <c r="B712" t="s">
        <v>70</v>
      </c>
      <c r="C712" t="s">
        <v>867</v>
      </c>
      <c r="D712" t="s">
        <v>80</v>
      </c>
      <c r="E712">
        <v>5</v>
      </c>
      <c r="F712" t="s">
        <v>104</v>
      </c>
      <c r="G712">
        <v>3.39</v>
      </c>
      <c r="H712">
        <v>45</v>
      </c>
      <c r="I712">
        <v>133</v>
      </c>
      <c r="J712">
        <v>199</v>
      </c>
      <c r="K712">
        <v>66</v>
      </c>
    </row>
    <row r="713" spans="1:11" x14ac:dyDescent="0.3">
      <c r="A713">
        <v>8.27</v>
      </c>
      <c r="B713" t="s">
        <v>70</v>
      </c>
      <c r="C713" t="s">
        <v>868</v>
      </c>
      <c r="D713" t="s">
        <v>77</v>
      </c>
      <c r="E713">
        <v>5</v>
      </c>
      <c r="F713" t="s">
        <v>446</v>
      </c>
      <c r="G713">
        <v>17.14</v>
      </c>
      <c r="H713">
        <v>35</v>
      </c>
      <c r="I713">
        <v>57</v>
      </c>
      <c r="J713">
        <v>298</v>
      </c>
      <c r="K713">
        <v>241</v>
      </c>
    </row>
    <row r="714" spans="1:11" x14ac:dyDescent="0.3">
      <c r="A714">
        <v>14.4</v>
      </c>
      <c r="B714" t="s">
        <v>70</v>
      </c>
      <c r="C714" t="s">
        <v>869</v>
      </c>
      <c r="D714" t="s">
        <v>130</v>
      </c>
      <c r="E714">
        <v>5</v>
      </c>
      <c r="F714" t="s">
        <v>192</v>
      </c>
      <c r="G714">
        <v>30.84</v>
      </c>
      <c r="H714">
        <v>40</v>
      </c>
      <c r="I714">
        <v>58</v>
      </c>
      <c r="J714">
        <v>233</v>
      </c>
      <c r="K714">
        <v>175</v>
      </c>
    </row>
    <row r="715" spans="1:11" x14ac:dyDescent="0.3">
      <c r="A715">
        <v>30.55</v>
      </c>
      <c r="B715" t="s">
        <v>70</v>
      </c>
      <c r="C715" t="s">
        <v>870</v>
      </c>
      <c r="D715" t="s">
        <v>90</v>
      </c>
      <c r="E715">
        <v>5</v>
      </c>
      <c r="F715" t="s">
        <v>127</v>
      </c>
      <c r="G715">
        <v>48.57</v>
      </c>
      <c r="H715">
        <v>21</v>
      </c>
      <c r="I715">
        <v>95</v>
      </c>
      <c r="J715">
        <v>171</v>
      </c>
      <c r="K715">
        <v>76</v>
      </c>
    </row>
    <row r="716" spans="1:11" x14ac:dyDescent="0.3">
      <c r="A716">
        <v>3.9</v>
      </c>
      <c r="B716" t="s">
        <v>70</v>
      </c>
      <c r="C716" t="s">
        <v>871</v>
      </c>
      <c r="D716" t="s">
        <v>87</v>
      </c>
      <c r="E716">
        <v>5</v>
      </c>
      <c r="F716" t="s">
        <v>122</v>
      </c>
      <c r="G716">
        <v>7.15</v>
      </c>
      <c r="H716">
        <v>66</v>
      </c>
      <c r="I716">
        <v>319</v>
      </c>
      <c r="J716">
        <v>499</v>
      </c>
      <c r="K716">
        <v>180</v>
      </c>
    </row>
    <row r="717" spans="1:11" x14ac:dyDescent="0.3">
      <c r="A717">
        <v>17.86</v>
      </c>
      <c r="B717" t="s">
        <v>70</v>
      </c>
      <c r="C717" t="s">
        <v>872</v>
      </c>
      <c r="D717" t="s">
        <v>87</v>
      </c>
      <c r="E717">
        <v>5</v>
      </c>
      <c r="F717" t="s">
        <v>112</v>
      </c>
      <c r="G717">
        <v>31.37</v>
      </c>
      <c r="H717">
        <v>12</v>
      </c>
      <c r="I717">
        <v>49</v>
      </c>
      <c r="J717">
        <v>58</v>
      </c>
      <c r="K717">
        <v>9</v>
      </c>
    </row>
    <row r="718" spans="1:11" x14ac:dyDescent="0.3">
      <c r="A718">
        <v>31.3</v>
      </c>
      <c r="B718" t="s">
        <v>70</v>
      </c>
      <c r="C718" t="s">
        <v>873</v>
      </c>
      <c r="D718" t="s">
        <v>93</v>
      </c>
      <c r="E718">
        <v>5</v>
      </c>
      <c r="F718" t="s">
        <v>414</v>
      </c>
      <c r="G718">
        <v>41.23</v>
      </c>
      <c r="H718">
        <v>23</v>
      </c>
      <c r="I718">
        <v>36</v>
      </c>
      <c r="J718">
        <v>97</v>
      </c>
      <c r="K718">
        <v>61</v>
      </c>
    </row>
    <row r="719" spans="1:11" x14ac:dyDescent="0.3">
      <c r="A719">
        <v>2.67</v>
      </c>
      <c r="B719" t="s">
        <v>70</v>
      </c>
      <c r="C719" t="s">
        <v>874</v>
      </c>
      <c r="D719" t="s">
        <v>77</v>
      </c>
      <c r="E719">
        <v>5</v>
      </c>
      <c r="F719" t="s">
        <v>341</v>
      </c>
      <c r="G719">
        <v>5.83</v>
      </c>
      <c r="H719">
        <v>12</v>
      </c>
      <c r="I719">
        <v>47</v>
      </c>
      <c r="J719">
        <v>124</v>
      </c>
      <c r="K719">
        <v>77</v>
      </c>
    </row>
    <row r="720" spans="1:11" x14ac:dyDescent="0.3">
      <c r="A720">
        <v>12.46</v>
      </c>
      <c r="B720" t="s">
        <v>70</v>
      </c>
      <c r="C720" t="s">
        <v>875</v>
      </c>
      <c r="D720" t="s">
        <v>83</v>
      </c>
      <c r="E720">
        <v>5</v>
      </c>
      <c r="F720" t="s">
        <v>210</v>
      </c>
      <c r="G720">
        <v>20.79</v>
      </c>
      <c r="H720">
        <v>11</v>
      </c>
      <c r="I720">
        <v>19</v>
      </c>
      <c r="J720">
        <v>49</v>
      </c>
      <c r="K720">
        <v>30</v>
      </c>
    </row>
    <row r="721" spans="1:11" x14ac:dyDescent="0.3">
      <c r="A721">
        <v>14.4</v>
      </c>
      <c r="B721" t="s">
        <v>70</v>
      </c>
      <c r="C721" t="s">
        <v>876</v>
      </c>
      <c r="D721" t="s">
        <v>87</v>
      </c>
      <c r="E721">
        <v>5</v>
      </c>
      <c r="F721" t="s">
        <v>122</v>
      </c>
      <c r="G721">
        <v>19.260000000000002</v>
      </c>
      <c r="H721">
        <v>2</v>
      </c>
      <c r="I721">
        <v>13</v>
      </c>
      <c r="J721">
        <v>25</v>
      </c>
      <c r="K721">
        <v>12</v>
      </c>
    </row>
    <row r="722" spans="1:11" x14ac:dyDescent="0.3">
      <c r="A722">
        <v>6.41</v>
      </c>
      <c r="B722" t="s">
        <v>70</v>
      </c>
      <c r="C722" t="s">
        <v>877</v>
      </c>
      <c r="D722" t="s">
        <v>83</v>
      </c>
      <c r="E722">
        <v>7</v>
      </c>
      <c r="F722" t="s">
        <v>202</v>
      </c>
      <c r="G722">
        <v>11.37</v>
      </c>
      <c r="H722">
        <v>50</v>
      </c>
      <c r="I722">
        <v>278</v>
      </c>
      <c r="J722">
        <v>489</v>
      </c>
      <c r="K722">
        <v>211</v>
      </c>
    </row>
    <row r="723" spans="1:11" x14ac:dyDescent="0.3">
      <c r="A723">
        <v>6.4</v>
      </c>
      <c r="B723" t="s">
        <v>70</v>
      </c>
      <c r="C723" t="s">
        <v>878</v>
      </c>
      <c r="D723" t="s">
        <v>130</v>
      </c>
      <c r="E723">
        <v>7</v>
      </c>
      <c r="F723" t="s">
        <v>290</v>
      </c>
      <c r="G723">
        <v>12.71</v>
      </c>
      <c r="H723">
        <v>51</v>
      </c>
      <c r="I723">
        <v>124</v>
      </c>
      <c r="J723">
        <v>470</v>
      </c>
      <c r="K723">
        <v>346</v>
      </c>
    </row>
    <row r="724" spans="1:11" x14ac:dyDescent="0.3">
      <c r="A724">
        <v>28.63</v>
      </c>
      <c r="B724" t="s">
        <v>70</v>
      </c>
      <c r="C724" t="s">
        <v>879</v>
      </c>
      <c r="D724" t="s">
        <v>130</v>
      </c>
      <c r="E724">
        <v>7</v>
      </c>
      <c r="F724" t="s">
        <v>299</v>
      </c>
      <c r="G724">
        <v>37.31</v>
      </c>
      <c r="H724">
        <v>31</v>
      </c>
      <c r="I724">
        <v>85</v>
      </c>
      <c r="J724">
        <v>256</v>
      </c>
      <c r="K724">
        <v>171</v>
      </c>
    </row>
    <row r="725" spans="1:11" x14ac:dyDescent="0.3">
      <c r="A725">
        <v>9.58</v>
      </c>
      <c r="B725" t="s">
        <v>70</v>
      </c>
      <c r="C725" t="s">
        <v>880</v>
      </c>
      <c r="D725" t="s">
        <v>87</v>
      </c>
      <c r="E725">
        <v>7</v>
      </c>
      <c r="F725" t="s">
        <v>122</v>
      </c>
      <c r="G725">
        <v>16.97</v>
      </c>
      <c r="H725">
        <v>16</v>
      </c>
      <c r="I725">
        <v>39</v>
      </c>
      <c r="J725">
        <v>153</v>
      </c>
      <c r="K725">
        <v>114</v>
      </c>
    </row>
    <row r="726" spans="1:11" x14ac:dyDescent="0.3">
      <c r="A726">
        <v>11.71</v>
      </c>
      <c r="B726" t="s">
        <v>70</v>
      </c>
      <c r="C726" t="s">
        <v>881</v>
      </c>
      <c r="D726" t="s">
        <v>77</v>
      </c>
      <c r="E726">
        <v>7</v>
      </c>
      <c r="F726" t="s">
        <v>349</v>
      </c>
      <c r="G726">
        <v>22.03</v>
      </c>
      <c r="H726">
        <v>12</v>
      </c>
      <c r="I726">
        <v>89</v>
      </c>
      <c r="J726">
        <v>122</v>
      </c>
      <c r="K726">
        <v>33</v>
      </c>
    </row>
    <row r="727" spans="1:11" x14ac:dyDescent="0.3">
      <c r="A727">
        <v>1.1200000000000001</v>
      </c>
      <c r="B727" t="s">
        <v>70</v>
      </c>
      <c r="C727" t="s">
        <v>882</v>
      </c>
      <c r="D727" t="s">
        <v>72</v>
      </c>
      <c r="E727">
        <v>7</v>
      </c>
      <c r="F727" t="s">
        <v>102</v>
      </c>
      <c r="G727">
        <v>1.52</v>
      </c>
      <c r="H727">
        <v>93</v>
      </c>
      <c r="I727">
        <v>130</v>
      </c>
      <c r="J727">
        <v>416</v>
      </c>
      <c r="K727">
        <v>286</v>
      </c>
    </row>
    <row r="728" spans="1:11" x14ac:dyDescent="0.3">
      <c r="A728">
        <v>65.400000000000006</v>
      </c>
      <c r="B728" t="s">
        <v>70</v>
      </c>
      <c r="C728" t="s">
        <v>883</v>
      </c>
      <c r="D728" t="s">
        <v>90</v>
      </c>
      <c r="E728">
        <v>10</v>
      </c>
      <c r="F728" t="s">
        <v>189</v>
      </c>
      <c r="G728">
        <v>92.21</v>
      </c>
      <c r="H728">
        <v>22</v>
      </c>
      <c r="I728">
        <v>130</v>
      </c>
      <c r="J728">
        <v>188</v>
      </c>
      <c r="K728">
        <v>58</v>
      </c>
    </row>
    <row r="729" spans="1:11" x14ac:dyDescent="0.3">
      <c r="A729">
        <v>31.63</v>
      </c>
      <c r="B729" t="s">
        <v>70</v>
      </c>
      <c r="C729" t="s">
        <v>884</v>
      </c>
      <c r="D729" t="s">
        <v>93</v>
      </c>
      <c r="E729">
        <v>10</v>
      </c>
      <c r="F729" t="s">
        <v>156</v>
      </c>
      <c r="G729">
        <v>52.56</v>
      </c>
      <c r="H729">
        <v>32</v>
      </c>
      <c r="I729">
        <v>153</v>
      </c>
      <c r="J729">
        <v>172</v>
      </c>
      <c r="K729">
        <v>19</v>
      </c>
    </row>
    <row r="730" spans="1:11" x14ac:dyDescent="0.3">
      <c r="A730">
        <v>11.99</v>
      </c>
      <c r="B730" t="s">
        <v>70</v>
      </c>
      <c r="C730" t="s">
        <v>885</v>
      </c>
      <c r="D730" t="s">
        <v>77</v>
      </c>
      <c r="E730">
        <v>10</v>
      </c>
      <c r="F730" t="s">
        <v>180</v>
      </c>
      <c r="G730">
        <v>15.87</v>
      </c>
      <c r="H730">
        <v>79</v>
      </c>
      <c r="I730">
        <v>197</v>
      </c>
      <c r="J730">
        <v>349</v>
      </c>
      <c r="K730">
        <v>152</v>
      </c>
    </row>
    <row r="731" spans="1:11" x14ac:dyDescent="0.3">
      <c r="A731">
        <v>10.36</v>
      </c>
      <c r="B731" t="s">
        <v>70</v>
      </c>
      <c r="C731" t="s">
        <v>886</v>
      </c>
      <c r="D731" t="s">
        <v>80</v>
      </c>
      <c r="E731">
        <v>7</v>
      </c>
      <c r="F731" t="s">
        <v>233</v>
      </c>
      <c r="G731">
        <v>15.48</v>
      </c>
      <c r="H731">
        <v>45</v>
      </c>
      <c r="I731">
        <v>77</v>
      </c>
      <c r="J731">
        <v>193</v>
      </c>
      <c r="K731">
        <v>116</v>
      </c>
    </row>
    <row r="732" spans="1:11" x14ac:dyDescent="0.3">
      <c r="A732">
        <v>5.53</v>
      </c>
      <c r="B732" t="s">
        <v>70</v>
      </c>
      <c r="C732" t="s">
        <v>887</v>
      </c>
      <c r="D732" t="s">
        <v>80</v>
      </c>
      <c r="E732">
        <v>10</v>
      </c>
      <c r="F732" t="s">
        <v>104</v>
      </c>
      <c r="G732">
        <v>9.7200000000000006</v>
      </c>
      <c r="H732">
        <v>102</v>
      </c>
      <c r="I732">
        <v>366</v>
      </c>
      <c r="J732">
        <v>499</v>
      </c>
      <c r="K732">
        <v>133</v>
      </c>
    </row>
    <row r="733" spans="1:11" x14ac:dyDescent="0.3">
      <c r="A733">
        <v>2.73</v>
      </c>
      <c r="B733" t="s">
        <v>70</v>
      </c>
      <c r="C733" t="s">
        <v>888</v>
      </c>
      <c r="D733" t="s">
        <v>80</v>
      </c>
      <c r="E733">
        <v>7</v>
      </c>
      <c r="F733" t="s">
        <v>104</v>
      </c>
      <c r="G733">
        <v>5.71</v>
      </c>
      <c r="H733">
        <v>36</v>
      </c>
      <c r="I733">
        <v>175</v>
      </c>
      <c r="J733">
        <v>276</v>
      </c>
      <c r="K733">
        <v>101</v>
      </c>
    </row>
    <row r="734" spans="1:11" x14ac:dyDescent="0.3">
      <c r="A734">
        <v>11.37</v>
      </c>
      <c r="B734" t="s">
        <v>70</v>
      </c>
      <c r="C734" t="s">
        <v>889</v>
      </c>
      <c r="D734" t="s">
        <v>80</v>
      </c>
      <c r="E734">
        <v>10</v>
      </c>
      <c r="F734" t="s">
        <v>114</v>
      </c>
      <c r="G734">
        <v>17.739999999999998</v>
      </c>
      <c r="H734">
        <v>27</v>
      </c>
      <c r="I734">
        <v>57</v>
      </c>
      <c r="J734">
        <v>234</v>
      </c>
      <c r="K734">
        <v>177</v>
      </c>
    </row>
    <row r="735" spans="1:11" x14ac:dyDescent="0.3">
      <c r="A735">
        <v>4.4400000000000004</v>
      </c>
      <c r="B735" t="s">
        <v>70</v>
      </c>
      <c r="C735" t="s">
        <v>890</v>
      </c>
      <c r="D735" t="s">
        <v>77</v>
      </c>
      <c r="E735">
        <v>7</v>
      </c>
      <c r="F735" t="s">
        <v>349</v>
      </c>
      <c r="G735">
        <v>9.33</v>
      </c>
      <c r="H735">
        <v>60</v>
      </c>
      <c r="I735">
        <v>286</v>
      </c>
      <c r="J735">
        <v>463</v>
      </c>
      <c r="K735">
        <v>177</v>
      </c>
    </row>
    <row r="736" spans="1:11" x14ac:dyDescent="0.3">
      <c r="A736">
        <v>16.59</v>
      </c>
      <c r="B736" t="s">
        <v>70</v>
      </c>
      <c r="C736" t="s">
        <v>891</v>
      </c>
      <c r="D736" t="s">
        <v>93</v>
      </c>
      <c r="E736">
        <v>10</v>
      </c>
      <c r="F736" t="s">
        <v>156</v>
      </c>
      <c r="G736">
        <v>35.35</v>
      </c>
      <c r="H736">
        <v>12</v>
      </c>
      <c r="I736">
        <v>65</v>
      </c>
      <c r="J736">
        <v>97</v>
      </c>
      <c r="K736">
        <v>32</v>
      </c>
    </row>
    <row r="737" spans="1:11" x14ac:dyDescent="0.3">
      <c r="A737">
        <v>8.82</v>
      </c>
      <c r="B737" t="s">
        <v>70</v>
      </c>
      <c r="C737" t="s">
        <v>892</v>
      </c>
      <c r="D737" t="s">
        <v>72</v>
      </c>
      <c r="E737">
        <v>10</v>
      </c>
      <c r="F737" t="s">
        <v>168</v>
      </c>
      <c r="G737">
        <v>16.82</v>
      </c>
      <c r="H737">
        <v>23</v>
      </c>
      <c r="I737">
        <v>151</v>
      </c>
      <c r="J737">
        <v>216</v>
      </c>
      <c r="K737">
        <v>65</v>
      </c>
    </row>
    <row r="738" spans="1:11" x14ac:dyDescent="0.3">
      <c r="A738">
        <v>24.12</v>
      </c>
      <c r="B738" t="s">
        <v>70</v>
      </c>
      <c r="C738" t="s">
        <v>893</v>
      </c>
      <c r="D738" t="s">
        <v>130</v>
      </c>
      <c r="E738">
        <v>10</v>
      </c>
      <c r="F738" t="s">
        <v>248</v>
      </c>
      <c r="G738">
        <v>35.53</v>
      </c>
      <c r="H738">
        <v>63</v>
      </c>
      <c r="I738">
        <v>150</v>
      </c>
      <c r="J738">
        <v>292</v>
      </c>
      <c r="K738">
        <v>142</v>
      </c>
    </row>
    <row r="739" spans="1:11" x14ac:dyDescent="0.3">
      <c r="A739">
        <v>17.36</v>
      </c>
      <c r="B739" t="s">
        <v>70</v>
      </c>
      <c r="C739" t="s">
        <v>894</v>
      </c>
      <c r="D739" t="s">
        <v>87</v>
      </c>
      <c r="E739">
        <v>10</v>
      </c>
      <c r="F739" t="s">
        <v>303</v>
      </c>
      <c r="G739">
        <v>36.92</v>
      </c>
      <c r="H739">
        <v>20</v>
      </c>
      <c r="I739">
        <v>90</v>
      </c>
      <c r="J739">
        <v>178</v>
      </c>
      <c r="K739">
        <v>88</v>
      </c>
    </row>
    <row r="740" spans="1:11" x14ac:dyDescent="0.3">
      <c r="A740">
        <v>13.11</v>
      </c>
      <c r="B740" t="s">
        <v>70</v>
      </c>
      <c r="C740" t="s">
        <v>895</v>
      </c>
      <c r="D740" t="s">
        <v>130</v>
      </c>
      <c r="E740">
        <v>10</v>
      </c>
      <c r="F740" t="s">
        <v>290</v>
      </c>
      <c r="G740">
        <v>23.98</v>
      </c>
      <c r="H740">
        <v>81</v>
      </c>
      <c r="I740">
        <v>301</v>
      </c>
      <c r="J740">
        <v>397</v>
      </c>
      <c r="K740">
        <v>96</v>
      </c>
    </row>
    <row r="741" spans="1:11" x14ac:dyDescent="0.3">
      <c r="A741">
        <v>13.99</v>
      </c>
      <c r="B741" t="s">
        <v>70</v>
      </c>
      <c r="C741" t="s">
        <v>896</v>
      </c>
      <c r="D741" t="s">
        <v>72</v>
      </c>
      <c r="E741">
        <v>10</v>
      </c>
      <c r="F741" t="s">
        <v>96</v>
      </c>
      <c r="G741">
        <v>27.26</v>
      </c>
      <c r="H741">
        <v>13</v>
      </c>
      <c r="I741">
        <v>27</v>
      </c>
      <c r="J741">
        <v>56</v>
      </c>
      <c r="K741">
        <v>29</v>
      </c>
    </row>
    <row r="742" spans="1:11" x14ac:dyDescent="0.3">
      <c r="A742">
        <v>12.95</v>
      </c>
      <c r="B742" t="s">
        <v>70</v>
      </c>
      <c r="C742" t="s">
        <v>897</v>
      </c>
      <c r="D742" t="s">
        <v>130</v>
      </c>
      <c r="E742">
        <v>7</v>
      </c>
      <c r="F742" t="s">
        <v>173</v>
      </c>
      <c r="G742">
        <v>24.64</v>
      </c>
      <c r="H742">
        <v>59</v>
      </c>
      <c r="I742">
        <v>176</v>
      </c>
      <c r="J742">
        <v>260</v>
      </c>
      <c r="K742">
        <v>84</v>
      </c>
    </row>
    <row r="743" spans="1:11" x14ac:dyDescent="0.3">
      <c r="A743">
        <v>70.760000000000005</v>
      </c>
      <c r="B743" t="s">
        <v>70</v>
      </c>
      <c r="C743" t="s">
        <v>898</v>
      </c>
      <c r="D743" t="s">
        <v>90</v>
      </c>
      <c r="E743">
        <v>7</v>
      </c>
      <c r="F743" t="s">
        <v>352</v>
      </c>
      <c r="G743">
        <v>136.44</v>
      </c>
      <c r="H743">
        <v>37</v>
      </c>
      <c r="I743">
        <v>106</v>
      </c>
      <c r="J743">
        <v>312</v>
      </c>
      <c r="K743">
        <v>206</v>
      </c>
    </row>
    <row r="744" spans="1:11" x14ac:dyDescent="0.3">
      <c r="A744">
        <v>2.54</v>
      </c>
      <c r="B744" t="s">
        <v>70</v>
      </c>
      <c r="C744" t="s">
        <v>899</v>
      </c>
      <c r="D744" t="s">
        <v>77</v>
      </c>
      <c r="E744">
        <v>7</v>
      </c>
      <c r="F744" t="s">
        <v>341</v>
      </c>
      <c r="G744">
        <v>3.65</v>
      </c>
      <c r="H744">
        <v>4</v>
      </c>
      <c r="I744">
        <v>16</v>
      </c>
      <c r="J744">
        <v>31</v>
      </c>
      <c r="K744">
        <v>15</v>
      </c>
    </row>
    <row r="745" spans="1:11" x14ac:dyDescent="0.3">
      <c r="A745">
        <v>2.94</v>
      </c>
      <c r="B745" t="s">
        <v>70</v>
      </c>
      <c r="C745" t="s">
        <v>900</v>
      </c>
      <c r="D745" t="s">
        <v>87</v>
      </c>
      <c r="E745">
        <v>10</v>
      </c>
      <c r="F745" t="s">
        <v>237</v>
      </c>
      <c r="G745">
        <v>5.73</v>
      </c>
      <c r="H745">
        <v>41</v>
      </c>
      <c r="I745">
        <v>50</v>
      </c>
      <c r="J745">
        <v>199</v>
      </c>
      <c r="K745">
        <v>149</v>
      </c>
    </row>
    <row r="746" spans="1:11" x14ac:dyDescent="0.3">
      <c r="A746">
        <v>6.81</v>
      </c>
      <c r="B746" t="s">
        <v>70</v>
      </c>
      <c r="C746" t="s">
        <v>901</v>
      </c>
      <c r="D746" t="s">
        <v>93</v>
      </c>
      <c r="E746">
        <v>7</v>
      </c>
      <c r="F746" t="s">
        <v>94</v>
      </c>
      <c r="G746">
        <v>14.82</v>
      </c>
      <c r="H746">
        <v>60</v>
      </c>
      <c r="I746">
        <v>103</v>
      </c>
      <c r="J746">
        <v>293</v>
      </c>
      <c r="K746">
        <v>190</v>
      </c>
    </row>
    <row r="747" spans="1:11" x14ac:dyDescent="0.3">
      <c r="A747">
        <v>2.76</v>
      </c>
      <c r="B747" t="s">
        <v>70</v>
      </c>
      <c r="C747" t="s">
        <v>902</v>
      </c>
      <c r="D747" t="s">
        <v>130</v>
      </c>
      <c r="E747">
        <v>7</v>
      </c>
      <c r="F747" t="s">
        <v>228</v>
      </c>
      <c r="G747">
        <v>5.29</v>
      </c>
      <c r="H747">
        <v>13</v>
      </c>
      <c r="I747">
        <v>23</v>
      </c>
      <c r="J747">
        <v>66</v>
      </c>
      <c r="K747">
        <v>43</v>
      </c>
    </row>
    <row r="748" spans="1:11" x14ac:dyDescent="0.3">
      <c r="A748">
        <v>22.03</v>
      </c>
      <c r="B748" t="s">
        <v>70</v>
      </c>
      <c r="C748" t="s">
        <v>903</v>
      </c>
      <c r="D748" t="s">
        <v>93</v>
      </c>
      <c r="E748">
        <v>10</v>
      </c>
      <c r="F748" t="s">
        <v>166</v>
      </c>
      <c r="G748">
        <v>38</v>
      </c>
      <c r="H748">
        <v>10</v>
      </c>
      <c r="I748">
        <v>22</v>
      </c>
      <c r="J748">
        <v>43</v>
      </c>
      <c r="K748">
        <v>21</v>
      </c>
    </row>
    <row r="749" spans="1:11" x14ac:dyDescent="0.3">
      <c r="A749">
        <v>7.36</v>
      </c>
      <c r="B749" t="s">
        <v>70</v>
      </c>
      <c r="C749" t="s">
        <v>904</v>
      </c>
      <c r="D749" t="s">
        <v>130</v>
      </c>
      <c r="E749">
        <v>10</v>
      </c>
      <c r="F749" t="s">
        <v>173</v>
      </c>
      <c r="G749">
        <v>13.46</v>
      </c>
      <c r="H749">
        <v>7</v>
      </c>
      <c r="I749">
        <v>20</v>
      </c>
      <c r="J749">
        <v>34</v>
      </c>
      <c r="K749">
        <v>14</v>
      </c>
    </row>
    <row r="750" spans="1:11" x14ac:dyDescent="0.3">
      <c r="A750">
        <v>13.63</v>
      </c>
      <c r="B750" t="s">
        <v>70</v>
      </c>
      <c r="C750" t="s">
        <v>905</v>
      </c>
      <c r="D750" t="s">
        <v>87</v>
      </c>
      <c r="E750">
        <v>10</v>
      </c>
      <c r="F750" t="s">
        <v>112</v>
      </c>
      <c r="G750">
        <v>28.57</v>
      </c>
      <c r="H750">
        <v>14</v>
      </c>
      <c r="I750">
        <v>56</v>
      </c>
      <c r="J750">
        <v>102</v>
      </c>
      <c r="K750">
        <v>46</v>
      </c>
    </row>
    <row r="751" spans="1:11" x14ac:dyDescent="0.3">
      <c r="A751">
        <v>6.24</v>
      </c>
      <c r="B751" t="s">
        <v>70</v>
      </c>
      <c r="C751" t="s">
        <v>906</v>
      </c>
      <c r="D751" t="s">
        <v>93</v>
      </c>
      <c r="E751">
        <v>10</v>
      </c>
      <c r="F751" t="s">
        <v>252</v>
      </c>
      <c r="G751">
        <v>10.220000000000001</v>
      </c>
      <c r="H751">
        <v>28</v>
      </c>
      <c r="I751">
        <v>145</v>
      </c>
      <c r="J751">
        <v>170</v>
      </c>
      <c r="K751">
        <v>25</v>
      </c>
    </row>
    <row r="752" spans="1:11" x14ac:dyDescent="0.3">
      <c r="A752">
        <v>43.85</v>
      </c>
      <c r="B752" t="s">
        <v>70</v>
      </c>
      <c r="C752" t="s">
        <v>907</v>
      </c>
      <c r="D752" t="s">
        <v>90</v>
      </c>
      <c r="E752">
        <v>7</v>
      </c>
      <c r="F752" t="s">
        <v>219</v>
      </c>
      <c r="G752">
        <v>72.8</v>
      </c>
      <c r="H752">
        <v>66</v>
      </c>
      <c r="I752">
        <v>96</v>
      </c>
      <c r="J752">
        <v>308</v>
      </c>
      <c r="K752">
        <v>212</v>
      </c>
    </row>
    <row r="753" spans="1:11" x14ac:dyDescent="0.3">
      <c r="A753">
        <v>22.08</v>
      </c>
      <c r="B753" t="s">
        <v>70</v>
      </c>
      <c r="C753" t="s">
        <v>908</v>
      </c>
      <c r="D753" t="s">
        <v>130</v>
      </c>
      <c r="E753">
        <v>10</v>
      </c>
      <c r="F753" t="s">
        <v>154</v>
      </c>
      <c r="G753">
        <v>34.72</v>
      </c>
      <c r="H753">
        <v>10</v>
      </c>
      <c r="I753">
        <v>11</v>
      </c>
      <c r="J753">
        <v>69</v>
      </c>
      <c r="K753">
        <v>58</v>
      </c>
    </row>
    <row r="754" spans="1:11" x14ac:dyDescent="0.3">
      <c r="A754">
        <v>8.34</v>
      </c>
      <c r="B754" t="s">
        <v>70</v>
      </c>
      <c r="C754" t="s">
        <v>909</v>
      </c>
      <c r="D754" t="s">
        <v>72</v>
      </c>
      <c r="E754">
        <v>10</v>
      </c>
      <c r="F754" t="s">
        <v>463</v>
      </c>
      <c r="G754">
        <v>15.23</v>
      </c>
      <c r="H754">
        <v>45</v>
      </c>
      <c r="I754">
        <v>58</v>
      </c>
      <c r="J754">
        <v>327</v>
      </c>
      <c r="K754">
        <v>269</v>
      </c>
    </row>
    <row r="755" spans="1:11" x14ac:dyDescent="0.3">
      <c r="A755">
        <v>18.100000000000001</v>
      </c>
      <c r="B755" t="s">
        <v>70</v>
      </c>
      <c r="C755" t="s">
        <v>910</v>
      </c>
      <c r="D755" t="s">
        <v>72</v>
      </c>
      <c r="E755">
        <v>10</v>
      </c>
      <c r="F755" t="s">
        <v>197</v>
      </c>
      <c r="G755">
        <v>29.53</v>
      </c>
      <c r="H755">
        <v>102</v>
      </c>
      <c r="I755">
        <v>299</v>
      </c>
      <c r="J755">
        <v>473</v>
      </c>
      <c r="K755">
        <v>174</v>
      </c>
    </row>
    <row r="756" spans="1:11" x14ac:dyDescent="0.3">
      <c r="A756">
        <v>30.99</v>
      </c>
      <c r="B756" t="s">
        <v>70</v>
      </c>
      <c r="C756" t="s">
        <v>911</v>
      </c>
      <c r="D756" t="s">
        <v>93</v>
      </c>
      <c r="E756">
        <v>7</v>
      </c>
      <c r="F756" t="s">
        <v>108</v>
      </c>
      <c r="G756">
        <v>61.02</v>
      </c>
      <c r="H756">
        <v>66</v>
      </c>
      <c r="I756">
        <v>277</v>
      </c>
      <c r="J756">
        <v>459</v>
      </c>
      <c r="K756">
        <v>182</v>
      </c>
    </row>
    <row r="757" spans="1:11" x14ac:dyDescent="0.3">
      <c r="A757">
        <v>4.8099999999999996</v>
      </c>
      <c r="B757" t="s">
        <v>70</v>
      </c>
      <c r="C757" t="s">
        <v>912</v>
      </c>
      <c r="D757" t="s">
        <v>87</v>
      </c>
      <c r="E757">
        <v>10</v>
      </c>
      <c r="F757" t="s">
        <v>122</v>
      </c>
      <c r="G757">
        <v>10.34</v>
      </c>
      <c r="H757">
        <v>14</v>
      </c>
      <c r="I757">
        <v>50</v>
      </c>
      <c r="J757">
        <v>73</v>
      </c>
      <c r="K757">
        <v>23</v>
      </c>
    </row>
    <row r="758" spans="1:11" x14ac:dyDescent="0.3">
      <c r="A758">
        <v>21.55</v>
      </c>
      <c r="B758" t="s">
        <v>70</v>
      </c>
      <c r="C758" t="s">
        <v>913</v>
      </c>
      <c r="D758" t="s">
        <v>87</v>
      </c>
      <c r="E758">
        <v>10</v>
      </c>
      <c r="F758" t="s">
        <v>269</v>
      </c>
      <c r="G758">
        <v>32.03</v>
      </c>
      <c r="H758">
        <v>41</v>
      </c>
      <c r="I758">
        <v>118</v>
      </c>
      <c r="J758">
        <v>189</v>
      </c>
      <c r="K758">
        <v>71</v>
      </c>
    </row>
    <row r="759" spans="1:11" x14ac:dyDescent="0.3">
      <c r="A759">
        <v>31.45</v>
      </c>
      <c r="B759" t="s">
        <v>70</v>
      </c>
      <c r="C759" t="s">
        <v>914</v>
      </c>
      <c r="D759" t="s">
        <v>93</v>
      </c>
      <c r="E759">
        <v>10</v>
      </c>
      <c r="F759" t="s">
        <v>252</v>
      </c>
      <c r="G759">
        <v>68.52</v>
      </c>
      <c r="H759">
        <v>86</v>
      </c>
      <c r="I759">
        <v>360</v>
      </c>
      <c r="J759">
        <v>422</v>
      </c>
      <c r="K759">
        <v>62</v>
      </c>
    </row>
    <row r="760" spans="1:11" x14ac:dyDescent="0.3">
      <c r="A760">
        <v>16.78</v>
      </c>
      <c r="B760" t="s">
        <v>70</v>
      </c>
      <c r="C760" t="s">
        <v>915</v>
      </c>
      <c r="D760" t="s">
        <v>80</v>
      </c>
      <c r="E760">
        <v>7</v>
      </c>
      <c r="F760" t="s">
        <v>136</v>
      </c>
      <c r="G760">
        <v>35.24</v>
      </c>
      <c r="H760">
        <v>20</v>
      </c>
      <c r="I760">
        <v>60</v>
      </c>
      <c r="J760">
        <v>94</v>
      </c>
      <c r="K760">
        <v>34</v>
      </c>
    </row>
    <row r="761" spans="1:11" x14ac:dyDescent="0.3">
      <c r="A761">
        <v>5.34</v>
      </c>
      <c r="B761" t="s">
        <v>70</v>
      </c>
      <c r="C761" t="s">
        <v>916</v>
      </c>
      <c r="D761" t="s">
        <v>83</v>
      </c>
      <c r="E761">
        <v>7</v>
      </c>
      <c r="F761" t="s">
        <v>305</v>
      </c>
      <c r="G761">
        <v>7.82</v>
      </c>
      <c r="H761">
        <v>36</v>
      </c>
      <c r="I761">
        <v>47</v>
      </c>
      <c r="J761">
        <v>271</v>
      </c>
      <c r="K761">
        <v>224</v>
      </c>
    </row>
    <row r="762" spans="1:11" x14ac:dyDescent="0.3">
      <c r="A762">
        <v>4.49</v>
      </c>
      <c r="B762" t="s">
        <v>70</v>
      </c>
      <c r="C762" t="s">
        <v>917</v>
      </c>
      <c r="D762" t="s">
        <v>90</v>
      </c>
      <c r="E762">
        <v>10</v>
      </c>
      <c r="F762" t="s">
        <v>177</v>
      </c>
      <c r="G762">
        <v>9.8699999999999992</v>
      </c>
      <c r="H762">
        <v>6</v>
      </c>
      <c r="I762">
        <v>10</v>
      </c>
      <c r="J762">
        <v>58</v>
      </c>
      <c r="K762">
        <v>48</v>
      </c>
    </row>
    <row r="763" spans="1:11" x14ac:dyDescent="0.3">
      <c r="A763">
        <v>3.92</v>
      </c>
      <c r="B763" t="s">
        <v>70</v>
      </c>
      <c r="C763" t="s">
        <v>918</v>
      </c>
      <c r="D763" t="s">
        <v>77</v>
      </c>
      <c r="E763">
        <v>10</v>
      </c>
      <c r="F763" t="s">
        <v>446</v>
      </c>
      <c r="G763">
        <v>5.34</v>
      </c>
      <c r="H763">
        <v>53</v>
      </c>
      <c r="I763">
        <v>100</v>
      </c>
      <c r="J763">
        <v>277</v>
      </c>
      <c r="K763">
        <v>177</v>
      </c>
    </row>
    <row r="764" spans="1:11" x14ac:dyDescent="0.3">
      <c r="A764">
        <v>6.43</v>
      </c>
      <c r="B764" t="s">
        <v>70</v>
      </c>
      <c r="C764" t="s">
        <v>919</v>
      </c>
      <c r="D764" t="s">
        <v>77</v>
      </c>
      <c r="E764">
        <v>10</v>
      </c>
      <c r="F764" t="s">
        <v>78</v>
      </c>
      <c r="G764">
        <v>8.7899999999999991</v>
      </c>
      <c r="H764">
        <v>68</v>
      </c>
      <c r="I764">
        <v>70</v>
      </c>
      <c r="J764">
        <v>350</v>
      </c>
      <c r="K764">
        <v>280</v>
      </c>
    </row>
    <row r="765" spans="1:11" x14ac:dyDescent="0.3">
      <c r="A765">
        <v>21.68</v>
      </c>
      <c r="B765" t="s">
        <v>70</v>
      </c>
      <c r="C765" t="s">
        <v>920</v>
      </c>
      <c r="D765" t="s">
        <v>130</v>
      </c>
      <c r="E765">
        <v>7</v>
      </c>
      <c r="F765" t="s">
        <v>131</v>
      </c>
      <c r="G765">
        <v>43.86</v>
      </c>
      <c r="H765">
        <v>22</v>
      </c>
      <c r="I765">
        <v>140</v>
      </c>
      <c r="J765">
        <v>198</v>
      </c>
      <c r="K765">
        <v>58</v>
      </c>
    </row>
    <row r="766" spans="1:11" x14ac:dyDescent="0.3">
      <c r="A766">
        <v>10.96</v>
      </c>
      <c r="B766" t="s">
        <v>70</v>
      </c>
      <c r="C766" t="s">
        <v>921</v>
      </c>
      <c r="D766" t="s">
        <v>130</v>
      </c>
      <c r="E766">
        <v>10</v>
      </c>
      <c r="F766" t="s">
        <v>299</v>
      </c>
      <c r="G766">
        <v>20.34</v>
      </c>
      <c r="H766">
        <v>56</v>
      </c>
      <c r="I766">
        <v>69</v>
      </c>
      <c r="J766">
        <v>442</v>
      </c>
      <c r="K766">
        <v>373</v>
      </c>
    </row>
    <row r="767" spans="1:11" x14ac:dyDescent="0.3">
      <c r="A767">
        <v>6.18</v>
      </c>
      <c r="B767" t="s">
        <v>70</v>
      </c>
      <c r="C767" t="s">
        <v>922</v>
      </c>
      <c r="D767" t="s">
        <v>83</v>
      </c>
      <c r="E767">
        <v>7</v>
      </c>
      <c r="F767" t="s">
        <v>206</v>
      </c>
      <c r="G767">
        <v>10.83</v>
      </c>
      <c r="H767">
        <v>19</v>
      </c>
      <c r="I767">
        <v>85</v>
      </c>
      <c r="J767">
        <v>137</v>
      </c>
      <c r="K767">
        <v>52</v>
      </c>
    </row>
    <row r="768" spans="1:11" x14ac:dyDescent="0.3">
      <c r="A768">
        <v>2.57</v>
      </c>
      <c r="B768" t="s">
        <v>70</v>
      </c>
      <c r="C768" t="s">
        <v>923</v>
      </c>
      <c r="D768" t="s">
        <v>80</v>
      </c>
      <c r="E768">
        <v>7</v>
      </c>
      <c r="F768" t="s">
        <v>104</v>
      </c>
      <c r="G768">
        <v>3.93</v>
      </c>
      <c r="H768">
        <v>8</v>
      </c>
      <c r="I768">
        <v>19</v>
      </c>
      <c r="J768">
        <v>45</v>
      </c>
      <c r="K768">
        <v>26</v>
      </c>
    </row>
    <row r="769" spans="1:11" x14ac:dyDescent="0.3">
      <c r="A769">
        <v>9.39</v>
      </c>
      <c r="B769" t="s">
        <v>70</v>
      </c>
      <c r="C769" t="s">
        <v>924</v>
      </c>
      <c r="D769" t="s">
        <v>83</v>
      </c>
      <c r="E769">
        <v>10</v>
      </c>
      <c r="F769" t="s">
        <v>210</v>
      </c>
      <c r="G769">
        <v>16.47</v>
      </c>
      <c r="H769">
        <v>9</v>
      </c>
      <c r="I769">
        <v>18</v>
      </c>
      <c r="J769">
        <v>70</v>
      </c>
      <c r="K769">
        <v>52</v>
      </c>
    </row>
    <row r="770" spans="1:11" x14ac:dyDescent="0.3">
      <c r="A770">
        <v>25.5</v>
      </c>
      <c r="B770" t="s">
        <v>70</v>
      </c>
      <c r="C770" t="s">
        <v>925</v>
      </c>
      <c r="D770" t="s">
        <v>90</v>
      </c>
      <c r="E770">
        <v>10</v>
      </c>
      <c r="F770" t="s">
        <v>352</v>
      </c>
      <c r="G770">
        <v>41.87</v>
      </c>
      <c r="H770">
        <v>27</v>
      </c>
      <c r="I770">
        <v>116</v>
      </c>
      <c r="J770">
        <v>151</v>
      </c>
      <c r="K770">
        <v>35</v>
      </c>
    </row>
    <row r="771" spans="1:11" x14ac:dyDescent="0.3">
      <c r="A771">
        <v>4.92</v>
      </c>
      <c r="B771" t="s">
        <v>70</v>
      </c>
      <c r="C771" t="s">
        <v>926</v>
      </c>
      <c r="D771" t="s">
        <v>83</v>
      </c>
      <c r="E771">
        <v>10</v>
      </c>
      <c r="F771" t="s">
        <v>305</v>
      </c>
      <c r="G771">
        <v>8.16</v>
      </c>
      <c r="H771">
        <v>39</v>
      </c>
      <c r="I771">
        <v>126</v>
      </c>
      <c r="J771">
        <v>229</v>
      </c>
      <c r="K771">
        <v>103</v>
      </c>
    </row>
    <row r="772" spans="1:11" x14ac:dyDescent="0.3">
      <c r="A772">
        <v>24.34</v>
      </c>
      <c r="B772" t="s">
        <v>70</v>
      </c>
      <c r="C772" t="s">
        <v>927</v>
      </c>
      <c r="D772" t="s">
        <v>87</v>
      </c>
      <c r="E772">
        <v>10</v>
      </c>
      <c r="F772" t="s">
        <v>269</v>
      </c>
      <c r="G772">
        <v>44.96</v>
      </c>
      <c r="H772">
        <v>24</v>
      </c>
      <c r="I772">
        <v>43</v>
      </c>
      <c r="J772">
        <v>204</v>
      </c>
      <c r="K772">
        <v>161</v>
      </c>
    </row>
    <row r="773" spans="1:11" x14ac:dyDescent="0.3">
      <c r="A773">
        <v>22.41</v>
      </c>
      <c r="B773" t="s">
        <v>70</v>
      </c>
      <c r="C773" t="s">
        <v>928</v>
      </c>
      <c r="D773" t="s">
        <v>130</v>
      </c>
      <c r="E773">
        <v>10</v>
      </c>
      <c r="F773" t="s">
        <v>228</v>
      </c>
      <c r="G773">
        <v>38.97</v>
      </c>
      <c r="H773">
        <v>5</v>
      </c>
      <c r="I773">
        <v>20</v>
      </c>
      <c r="J773">
        <v>31</v>
      </c>
      <c r="K773">
        <v>11</v>
      </c>
    </row>
    <row r="774" spans="1:11" x14ac:dyDescent="0.3">
      <c r="A774">
        <v>6.87</v>
      </c>
      <c r="B774" t="s">
        <v>70</v>
      </c>
      <c r="C774" t="s">
        <v>929</v>
      </c>
      <c r="D774" t="s">
        <v>93</v>
      </c>
      <c r="E774">
        <v>10</v>
      </c>
      <c r="F774" t="s">
        <v>414</v>
      </c>
      <c r="G774">
        <v>12.08</v>
      </c>
      <c r="H774">
        <v>82</v>
      </c>
      <c r="I774">
        <v>153</v>
      </c>
      <c r="J774">
        <v>428</v>
      </c>
      <c r="K774">
        <v>275</v>
      </c>
    </row>
    <row r="775" spans="1:11" x14ac:dyDescent="0.3">
      <c r="A775">
        <v>2.08</v>
      </c>
      <c r="B775" t="s">
        <v>70</v>
      </c>
      <c r="C775" t="s">
        <v>930</v>
      </c>
      <c r="D775" t="s">
        <v>72</v>
      </c>
      <c r="E775">
        <v>10</v>
      </c>
      <c r="F775" t="s">
        <v>239</v>
      </c>
      <c r="G775">
        <v>2.71</v>
      </c>
      <c r="H775">
        <v>44</v>
      </c>
      <c r="I775">
        <v>78</v>
      </c>
      <c r="J775">
        <v>437</v>
      </c>
      <c r="K775">
        <v>359</v>
      </c>
    </row>
    <row r="776" spans="1:11" x14ac:dyDescent="0.3">
      <c r="A776">
        <v>5.69</v>
      </c>
      <c r="B776" t="s">
        <v>70</v>
      </c>
      <c r="C776" t="s">
        <v>931</v>
      </c>
      <c r="D776" t="s">
        <v>87</v>
      </c>
      <c r="E776">
        <v>10</v>
      </c>
      <c r="F776" t="s">
        <v>147</v>
      </c>
      <c r="G776">
        <v>9.66</v>
      </c>
      <c r="H776">
        <v>64</v>
      </c>
      <c r="I776">
        <v>143</v>
      </c>
      <c r="J776">
        <v>322</v>
      </c>
      <c r="K776">
        <v>179</v>
      </c>
    </row>
    <row r="777" spans="1:11" x14ac:dyDescent="0.3">
      <c r="A777">
        <v>5.08</v>
      </c>
      <c r="B777" t="s">
        <v>70</v>
      </c>
      <c r="C777" t="s">
        <v>932</v>
      </c>
      <c r="D777" t="s">
        <v>77</v>
      </c>
      <c r="E777">
        <v>7</v>
      </c>
      <c r="F777" t="s">
        <v>140</v>
      </c>
      <c r="G777">
        <v>9.66</v>
      </c>
      <c r="H777">
        <v>3</v>
      </c>
      <c r="I777">
        <v>17</v>
      </c>
      <c r="J777">
        <v>35</v>
      </c>
      <c r="K777">
        <v>18</v>
      </c>
    </row>
    <row r="778" spans="1:11" x14ac:dyDescent="0.3">
      <c r="A778">
        <v>75.33</v>
      </c>
      <c r="B778" t="s">
        <v>70</v>
      </c>
      <c r="C778" t="s">
        <v>933</v>
      </c>
      <c r="D778" t="s">
        <v>90</v>
      </c>
      <c r="E778">
        <v>7</v>
      </c>
      <c r="F778" t="s">
        <v>133</v>
      </c>
      <c r="G778">
        <v>133.86000000000001</v>
      </c>
      <c r="H778">
        <v>73</v>
      </c>
      <c r="I778">
        <v>205</v>
      </c>
      <c r="J778">
        <v>413</v>
      </c>
      <c r="K778">
        <v>208</v>
      </c>
    </row>
    <row r="779" spans="1:11" x14ac:dyDescent="0.3">
      <c r="A779">
        <v>1.89</v>
      </c>
      <c r="B779" t="s">
        <v>70</v>
      </c>
      <c r="C779" t="s">
        <v>934</v>
      </c>
      <c r="D779" t="s">
        <v>77</v>
      </c>
      <c r="E779">
        <v>7</v>
      </c>
      <c r="F779" t="s">
        <v>78</v>
      </c>
      <c r="G779">
        <v>2.83</v>
      </c>
      <c r="H779">
        <v>44</v>
      </c>
      <c r="I779">
        <v>136</v>
      </c>
      <c r="J779">
        <v>204</v>
      </c>
      <c r="K779">
        <v>68</v>
      </c>
    </row>
    <row r="780" spans="1:11" x14ac:dyDescent="0.3">
      <c r="A780">
        <v>7.78</v>
      </c>
      <c r="B780" t="s">
        <v>70</v>
      </c>
      <c r="C780" t="s">
        <v>935</v>
      </c>
      <c r="D780" t="s">
        <v>77</v>
      </c>
      <c r="E780">
        <v>7</v>
      </c>
      <c r="F780" t="s">
        <v>140</v>
      </c>
      <c r="G780">
        <v>15.12</v>
      </c>
      <c r="H780">
        <v>76</v>
      </c>
      <c r="I780">
        <v>206</v>
      </c>
      <c r="J780">
        <v>365</v>
      </c>
      <c r="K780">
        <v>159</v>
      </c>
    </row>
    <row r="781" spans="1:11" x14ac:dyDescent="0.3">
      <c r="A781">
        <v>14.63</v>
      </c>
      <c r="B781" t="s">
        <v>70</v>
      </c>
      <c r="C781" t="s">
        <v>936</v>
      </c>
      <c r="D781" t="s">
        <v>93</v>
      </c>
      <c r="E781">
        <v>10</v>
      </c>
      <c r="F781" t="s">
        <v>252</v>
      </c>
      <c r="G781">
        <v>22.44</v>
      </c>
      <c r="H781">
        <v>62</v>
      </c>
      <c r="I781">
        <v>230</v>
      </c>
      <c r="J781">
        <v>260</v>
      </c>
      <c r="K781">
        <v>30</v>
      </c>
    </row>
    <row r="782" spans="1:11" x14ac:dyDescent="0.3">
      <c r="A782">
        <v>8.6999999999999993</v>
      </c>
      <c r="B782" t="s">
        <v>70</v>
      </c>
      <c r="C782" t="s">
        <v>937</v>
      </c>
      <c r="D782" t="s">
        <v>130</v>
      </c>
      <c r="E782">
        <v>10</v>
      </c>
      <c r="F782" t="s">
        <v>131</v>
      </c>
      <c r="G782">
        <v>18.440000000000001</v>
      </c>
      <c r="H782">
        <v>12</v>
      </c>
      <c r="I782">
        <v>55</v>
      </c>
      <c r="J782">
        <v>120</v>
      </c>
      <c r="K782">
        <v>65</v>
      </c>
    </row>
    <row r="783" spans="1:11" x14ac:dyDescent="0.3">
      <c r="A783">
        <v>4.3600000000000003</v>
      </c>
      <c r="B783" t="s">
        <v>70</v>
      </c>
      <c r="C783" t="s">
        <v>938</v>
      </c>
      <c r="D783" t="s">
        <v>77</v>
      </c>
      <c r="E783">
        <v>7</v>
      </c>
      <c r="F783" t="s">
        <v>446</v>
      </c>
      <c r="G783">
        <v>6.82</v>
      </c>
      <c r="H783">
        <v>80</v>
      </c>
      <c r="I783">
        <v>291</v>
      </c>
      <c r="J783">
        <v>339</v>
      </c>
      <c r="K783">
        <v>48</v>
      </c>
    </row>
    <row r="784" spans="1:11" x14ac:dyDescent="0.3">
      <c r="A784">
        <v>2.4300000000000002</v>
      </c>
      <c r="B784" t="s">
        <v>70</v>
      </c>
      <c r="C784" t="s">
        <v>939</v>
      </c>
      <c r="D784" t="s">
        <v>83</v>
      </c>
      <c r="E784">
        <v>10</v>
      </c>
      <c r="F784" t="s">
        <v>202</v>
      </c>
      <c r="G784">
        <v>3.35</v>
      </c>
      <c r="H784">
        <v>25</v>
      </c>
      <c r="I784">
        <v>29</v>
      </c>
      <c r="J784">
        <v>109</v>
      </c>
      <c r="K784">
        <v>80</v>
      </c>
    </row>
    <row r="785" spans="1:11" x14ac:dyDescent="0.3">
      <c r="A785">
        <v>28.47</v>
      </c>
      <c r="B785" t="s">
        <v>70</v>
      </c>
      <c r="C785" t="s">
        <v>940</v>
      </c>
      <c r="D785" t="s">
        <v>90</v>
      </c>
      <c r="E785">
        <v>10</v>
      </c>
      <c r="F785" t="s">
        <v>91</v>
      </c>
      <c r="G785">
        <v>52.56</v>
      </c>
      <c r="H785">
        <v>3</v>
      </c>
      <c r="I785">
        <v>13</v>
      </c>
      <c r="J785">
        <v>30</v>
      </c>
      <c r="K785">
        <v>17</v>
      </c>
    </row>
    <row r="786" spans="1:11" x14ac:dyDescent="0.3">
      <c r="A786">
        <v>11.83</v>
      </c>
      <c r="B786" t="s">
        <v>70</v>
      </c>
      <c r="C786" t="s">
        <v>941</v>
      </c>
      <c r="D786" t="s">
        <v>80</v>
      </c>
      <c r="E786">
        <v>7</v>
      </c>
      <c r="F786" t="s">
        <v>114</v>
      </c>
      <c r="G786">
        <v>19.12</v>
      </c>
      <c r="H786">
        <v>99</v>
      </c>
      <c r="I786">
        <v>402</v>
      </c>
      <c r="J786">
        <v>498</v>
      </c>
      <c r="K786">
        <v>96</v>
      </c>
    </row>
    <row r="787" spans="1:11" x14ac:dyDescent="0.3">
      <c r="A787">
        <v>14.47</v>
      </c>
      <c r="B787" t="s">
        <v>70</v>
      </c>
      <c r="C787" t="s">
        <v>942</v>
      </c>
      <c r="D787" t="s">
        <v>83</v>
      </c>
      <c r="E787">
        <v>7</v>
      </c>
      <c r="F787" t="s">
        <v>332</v>
      </c>
      <c r="G787">
        <v>27.07</v>
      </c>
      <c r="H787">
        <v>60</v>
      </c>
      <c r="I787">
        <v>235</v>
      </c>
      <c r="J787">
        <v>397</v>
      </c>
      <c r="K787">
        <v>162</v>
      </c>
    </row>
    <row r="788" spans="1:11" x14ac:dyDescent="0.3">
      <c r="A788">
        <v>8.52</v>
      </c>
      <c r="B788" t="s">
        <v>70</v>
      </c>
      <c r="C788" t="s">
        <v>943</v>
      </c>
      <c r="D788" t="s">
        <v>90</v>
      </c>
      <c r="E788">
        <v>10</v>
      </c>
      <c r="F788" t="s">
        <v>149</v>
      </c>
      <c r="G788">
        <v>13.6</v>
      </c>
      <c r="H788">
        <v>85</v>
      </c>
      <c r="I788">
        <v>154</v>
      </c>
      <c r="J788">
        <v>390</v>
      </c>
      <c r="K788">
        <v>236</v>
      </c>
    </row>
    <row r="789" spans="1:11" x14ac:dyDescent="0.3">
      <c r="A789">
        <v>16.47</v>
      </c>
      <c r="B789" t="s">
        <v>70</v>
      </c>
      <c r="C789" t="s">
        <v>944</v>
      </c>
      <c r="D789" t="s">
        <v>90</v>
      </c>
      <c r="E789">
        <v>10</v>
      </c>
      <c r="F789" t="s">
        <v>127</v>
      </c>
      <c r="G789">
        <v>27.56</v>
      </c>
      <c r="H789">
        <v>96</v>
      </c>
      <c r="I789">
        <v>101</v>
      </c>
      <c r="J789">
        <v>459</v>
      </c>
      <c r="K789">
        <v>358</v>
      </c>
    </row>
    <row r="790" spans="1:11" x14ac:dyDescent="0.3">
      <c r="A790">
        <v>18.86</v>
      </c>
      <c r="B790" t="s">
        <v>70</v>
      </c>
      <c r="C790" t="s">
        <v>945</v>
      </c>
      <c r="D790" t="s">
        <v>72</v>
      </c>
      <c r="E790">
        <v>7</v>
      </c>
      <c r="F790" t="s">
        <v>239</v>
      </c>
      <c r="G790">
        <v>26.08</v>
      </c>
      <c r="H790">
        <v>22</v>
      </c>
      <c r="I790">
        <v>73</v>
      </c>
      <c r="J790">
        <v>169</v>
      </c>
      <c r="K790">
        <v>96</v>
      </c>
    </row>
    <row r="791" spans="1:11" x14ac:dyDescent="0.3">
      <c r="A791">
        <v>13.76</v>
      </c>
      <c r="B791" t="s">
        <v>70</v>
      </c>
      <c r="C791" t="s">
        <v>946</v>
      </c>
      <c r="D791" t="s">
        <v>83</v>
      </c>
      <c r="E791">
        <v>10</v>
      </c>
      <c r="F791" t="s">
        <v>175</v>
      </c>
      <c r="G791">
        <v>29.51</v>
      </c>
      <c r="H791">
        <v>48</v>
      </c>
      <c r="I791">
        <v>199</v>
      </c>
      <c r="J791">
        <v>273</v>
      </c>
      <c r="K791">
        <v>74</v>
      </c>
    </row>
    <row r="792" spans="1:11" x14ac:dyDescent="0.3">
      <c r="A792">
        <v>7.61</v>
      </c>
      <c r="B792" t="s">
        <v>70</v>
      </c>
      <c r="C792" t="s">
        <v>947</v>
      </c>
      <c r="D792" t="s">
        <v>83</v>
      </c>
      <c r="E792">
        <v>7</v>
      </c>
      <c r="F792" t="s">
        <v>332</v>
      </c>
      <c r="G792">
        <v>11.4</v>
      </c>
      <c r="H792">
        <v>59</v>
      </c>
      <c r="I792">
        <v>238</v>
      </c>
      <c r="J792">
        <v>312</v>
      </c>
      <c r="K792">
        <v>74</v>
      </c>
    </row>
    <row r="793" spans="1:11" x14ac:dyDescent="0.3">
      <c r="A793">
        <v>78.73</v>
      </c>
      <c r="B793" t="s">
        <v>70</v>
      </c>
      <c r="C793" t="s">
        <v>948</v>
      </c>
      <c r="D793" t="s">
        <v>90</v>
      </c>
      <c r="E793">
        <v>10</v>
      </c>
      <c r="F793" t="s">
        <v>149</v>
      </c>
      <c r="G793">
        <v>134.97</v>
      </c>
      <c r="H793">
        <v>38</v>
      </c>
      <c r="I793">
        <v>50</v>
      </c>
      <c r="J793">
        <v>219</v>
      </c>
      <c r="K793">
        <v>169</v>
      </c>
    </row>
    <row r="794" spans="1:11" x14ac:dyDescent="0.3">
      <c r="A794">
        <v>11.07</v>
      </c>
      <c r="B794" t="s">
        <v>70</v>
      </c>
      <c r="C794" t="s">
        <v>949</v>
      </c>
      <c r="D794" t="s">
        <v>77</v>
      </c>
      <c r="E794">
        <v>7</v>
      </c>
      <c r="F794" t="s">
        <v>116</v>
      </c>
      <c r="G794">
        <v>23.92</v>
      </c>
      <c r="H794">
        <v>17</v>
      </c>
      <c r="I794">
        <v>44</v>
      </c>
      <c r="J794">
        <v>86</v>
      </c>
      <c r="K794">
        <v>42</v>
      </c>
    </row>
    <row r="795" spans="1:11" x14ac:dyDescent="0.3">
      <c r="A795">
        <v>18.489999999999998</v>
      </c>
      <c r="B795" t="s">
        <v>70</v>
      </c>
      <c r="C795" t="s">
        <v>950</v>
      </c>
      <c r="D795" t="s">
        <v>72</v>
      </c>
      <c r="E795">
        <v>10</v>
      </c>
      <c r="F795" t="s">
        <v>197</v>
      </c>
      <c r="G795">
        <v>29.9</v>
      </c>
      <c r="H795">
        <v>112</v>
      </c>
      <c r="I795">
        <v>190</v>
      </c>
      <c r="J795">
        <v>454</v>
      </c>
      <c r="K795">
        <v>264</v>
      </c>
    </row>
    <row r="796" spans="1:11" x14ac:dyDescent="0.3">
      <c r="A796">
        <v>23.67</v>
      </c>
      <c r="B796" t="s">
        <v>70</v>
      </c>
      <c r="C796" t="s">
        <v>951</v>
      </c>
      <c r="D796" t="s">
        <v>93</v>
      </c>
      <c r="E796">
        <v>7</v>
      </c>
      <c r="F796" t="s">
        <v>166</v>
      </c>
      <c r="G796">
        <v>50.63</v>
      </c>
      <c r="H796">
        <v>69</v>
      </c>
      <c r="I796">
        <v>149</v>
      </c>
      <c r="J796">
        <v>387</v>
      </c>
      <c r="K796">
        <v>238</v>
      </c>
    </row>
    <row r="797" spans="1:11" x14ac:dyDescent="0.3">
      <c r="A797">
        <v>8.77</v>
      </c>
      <c r="B797" t="s">
        <v>70</v>
      </c>
      <c r="C797" t="s">
        <v>952</v>
      </c>
      <c r="D797" t="s">
        <v>80</v>
      </c>
      <c r="E797">
        <v>7</v>
      </c>
      <c r="F797" t="s">
        <v>106</v>
      </c>
      <c r="G797">
        <v>16.41</v>
      </c>
      <c r="H797">
        <v>23</v>
      </c>
      <c r="I797">
        <v>76</v>
      </c>
      <c r="J797">
        <v>96</v>
      </c>
      <c r="K797">
        <v>20</v>
      </c>
    </row>
    <row r="798" spans="1:11" x14ac:dyDescent="0.3">
      <c r="A798">
        <v>9.41</v>
      </c>
      <c r="B798" t="s">
        <v>70</v>
      </c>
      <c r="C798" t="s">
        <v>953</v>
      </c>
      <c r="D798" t="s">
        <v>87</v>
      </c>
      <c r="E798">
        <v>10</v>
      </c>
      <c r="F798" t="s">
        <v>110</v>
      </c>
      <c r="G798">
        <v>14.94</v>
      </c>
      <c r="H798">
        <v>13</v>
      </c>
      <c r="I798">
        <v>47</v>
      </c>
      <c r="J798">
        <v>87</v>
      </c>
      <c r="K798">
        <v>40</v>
      </c>
    </row>
    <row r="799" spans="1:11" x14ac:dyDescent="0.3">
      <c r="A799">
        <v>13.11</v>
      </c>
      <c r="B799" t="s">
        <v>70</v>
      </c>
      <c r="C799" t="s">
        <v>954</v>
      </c>
      <c r="D799" t="s">
        <v>83</v>
      </c>
      <c r="E799">
        <v>10</v>
      </c>
      <c r="F799" t="s">
        <v>84</v>
      </c>
      <c r="G799">
        <v>28.13</v>
      </c>
      <c r="H799">
        <v>51</v>
      </c>
      <c r="I799">
        <v>129</v>
      </c>
      <c r="J799">
        <v>360</v>
      </c>
      <c r="K799">
        <v>231</v>
      </c>
    </row>
    <row r="800" spans="1:11" x14ac:dyDescent="0.3">
      <c r="A800">
        <v>4.5199999999999996</v>
      </c>
      <c r="B800" t="s">
        <v>70</v>
      </c>
      <c r="C800" t="s">
        <v>955</v>
      </c>
      <c r="D800" t="s">
        <v>77</v>
      </c>
      <c r="E800">
        <v>10</v>
      </c>
      <c r="F800" t="s">
        <v>152</v>
      </c>
      <c r="G800">
        <v>7.64</v>
      </c>
      <c r="H800">
        <v>66</v>
      </c>
      <c r="I800">
        <v>148</v>
      </c>
      <c r="J800">
        <v>308</v>
      </c>
      <c r="K800">
        <v>160</v>
      </c>
    </row>
    <row r="801" spans="1:11" x14ac:dyDescent="0.3">
      <c r="A801">
        <v>5.57</v>
      </c>
      <c r="B801" t="s">
        <v>70</v>
      </c>
      <c r="C801" t="s">
        <v>956</v>
      </c>
      <c r="D801" t="s">
        <v>87</v>
      </c>
      <c r="E801">
        <v>10</v>
      </c>
      <c r="F801" t="s">
        <v>337</v>
      </c>
      <c r="G801">
        <v>10.69</v>
      </c>
      <c r="H801">
        <v>26</v>
      </c>
      <c r="I801">
        <v>41</v>
      </c>
      <c r="J801">
        <v>195</v>
      </c>
      <c r="K801">
        <v>154</v>
      </c>
    </row>
    <row r="802" spans="1:11" x14ac:dyDescent="0.3">
      <c r="A802">
        <v>23.25</v>
      </c>
      <c r="B802" t="s">
        <v>70</v>
      </c>
      <c r="C802" t="s">
        <v>957</v>
      </c>
      <c r="D802" t="s">
        <v>87</v>
      </c>
      <c r="E802">
        <v>7</v>
      </c>
      <c r="F802" t="s">
        <v>237</v>
      </c>
      <c r="G802">
        <v>32.29</v>
      </c>
      <c r="H802">
        <v>63</v>
      </c>
      <c r="I802">
        <v>142</v>
      </c>
      <c r="J802">
        <v>400</v>
      </c>
      <c r="K802">
        <v>258</v>
      </c>
    </row>
    <row r="803" spans="1:11" x14ac:dyDescent="0.3">
      <c r="A803">
        <v>2.89</v>
      </c>
      <c r="B803" t="s">
        <v>70</v>
      </c>
      <c r="C803" t="s">
        <v>958</v>
      </c>
      <c r="D803" t="s">
        <v>77</v>
      </c>
      <c r="E803">
        <v>10</v>
      </c>
      <c r="F803" t="s">
        <v>152</v>
      </c>
      <c r="G803">
        <v>6.24</v>
      </c>
      <c r="H803">
        <v>49</v>
      </c>
      <c r="I803">
        <v>219</v>
      </c>
      <c r="J803">
        <v>365</v>
      </c>
      <c r="K803">
        <v>146</v>
      </c>
    </row>
    <row r="804" spans="1:11" x14ac:dyDescent="0.3">
      <c r="A804">
        <v>0.77</v>
      </c>
      <c r="B804" t="s">
        <v>70</v>
      </c>
      <c r="C804" t="s">
        <v>959</v>
      </c>
      <c r="D804" t="s">
        <v>83</v>
      </c>
      <c r="E804">
        <v>7</v>
      </c>
      <c r="F804" t="s">
        <v>305</v>
      </c>
      <c r="G804">
        <v>1.2</v>
      </c>
      <c r="H804">
        <v>24</v>
      </c>
      <c r="I804">
        <v>176</v>
      </c>
      <c r="J804">
        <v>228</v>
      </c>
      <c r="K804">
        <v>52</v>
      </c>
    </row>
    <row r="805" spans="1:11" x14ac:dyDescent="0.3">
      <c r="A805">
        <v>5.14</v>
      </c>
      <c r="B805" t="s">
        <v>70</v>
      </c>
      <c r="C805" t="s">
        <v>960</v>
      </c>
      <c r="D805" t="s">
        <v>77</v>
      </c>
      <c r="E805">
        <v>7</v>
      </c>
      <c r="F805" t="s">
        <v>341</v>
      </c>
      <c r="G805">
        <v>7.91</v>
      </c>
      <c r="H805">
        <v>88</v>
      </c>
      <c r="I805">
        <v>243</v>
      </c>
      <c r="J805">
        <v>480</v>
      </c>
      <c r="K805">
        <v>237</v>
      </c>
    </row>
    <row r="806" spans="1:11" x14ac:dyDescent="0.3">
      <c r="A806">
        <v>6.79</v>
      </c>
      <c r="B806" t="s">
        <v>70</v>
      </c>
      <c r="C806" t="s">
        <v>961</v>
      </c>
      <c r="D806" t="s">
        <v>83</v>
      </c>
      <c r="E806">
        <v>10</v>
      </c>
      <c r="F806" t="s">
        <v>332</v>
      </c>
      <c r="G806">
        <v>12</v>
      </c>
      <c r="H806">
        <v>48</v>
      </c>
      <c r="I806">
        <v>64</v>
      </c>
      <c r="J806">
        <v>355</v>
      </c>
      <c r="K806">
        <v>291</v>
      </c>
    </row>
    <row r="807" spans="1:11" x14ac:dyDescent="0.3">
      <c r="A807">
        <v>2.83</v>
      </c>
      <c r="B807" t="s">
        <v>70</v>
      </c>
      <c r="C807" t="s">
        <v>962</v>
      </c>
      <c r="D807" t="s">
        <v>87</v>
      </c>
      <c r="E807">
        <v>7</v>
      </c>
      <c r="F807" t="s">
        <v>269</v>
      </c>
      <c r="G807">
        <v>4.3</v>
      </c>
      <c r="H807">
        <v>37</v>
      </c>
      <c r="I807">
        <v>61</v>
      </c>
      <c r="J807">
        <v>170</v>
      </c>
      <c r="K807">
        <v>109</v>
      </c>
    </row>
    <row r="808" spans="1:11" x14ac:dyDescent="0.3">
      <c r="A808">
        <v>3.46</v>
      </c>
      <c r="B808" t="s">
        <v>70</v>
      </c>
      <c r="C808" t="s">
        <v>963</v>
      </c>
      <c r="D808" t="s">
        <v>83</v>
      </c>
      <c r="E808">
        <v>7</v>
      </c>
      <c r="F808" t="s">
        <v>305</v>
      </c>
      <c r="G808">
        <v>6.62</v>
      </c>
      <c r="H808">
        <v>18</v>
      </c>
      <c r="I808">
        <v>132</v>
      </c>
      <c r="J808">
        <v>160</v>
      </c>
      <c r="K808">
        <v>28</v>
      </c>
    </row>
    <row r="809" spans="1:11" x14ac:dyDescent="0.3">
      <c r="A809">
        <v>65.83</v>
      </c>
      <c r="B809" t="s">
        <v>70</v>
      </c>
      <c r="C809" t="s">
        <v>964</v>
      </c>
      <c r="D809" t="s">
        <v>90</v>
      </c>
      <c r="E809">
        <v>7</v>
      </c>
      <c r="F809" t="s">
        <v>189</v>
      </c>
      <c r="G809">
        <v>87.36</v>
      </c>
      <c r="H809">
        <v>46</v>
      </c>
      <c r="I809">
        <v>144</v>
      </c>
      <c r="J809">
        <v>221</v>
      </c>
      <c r="K809">
        <v>77</v>
      </c>
    </row>
    <row r="810" spans="1:11" x14ac:dyDescent="0.3">
      <c r="A810">
        <v>34.450000000000003</v>
      </c>
      <c r="B810" t="s">
        <v>70</v>
      </c>
      <c r="C810" t="s">
        <v>965</v>
      </c>
      <c r="D810" t="s">
        <v>93</v>
      </c>
      <c r="E810">
        <v>7</v>
      </c>
      <c r="F810" t="s">
        <v>125</v>
      </c>
      <c r="G810">
        <v>62</v>
      </c>
      <c r="H810">
        <v>57</v>
      </c>
      <c r="I810">
        <v>82</v>
      </c>
      <c r="J810">
        <v>358</v>
      </c>
      <c r="K810">
        <v>276</v>
      </c>
    </row>
    <row r="811" spans="1:11" x14ac:dyDescent="0.3">
      <c r="A811">
        <v>22.36</v>
      </c>
      <c r="B811" t="s">
        <v>70</v>
      </c>
      <c r="C811" t="s">
        <v>966</v>
      </c>
      <c r="D811" t="s">
        <v>72</v>
      </c>
      <c r="E811">
        <v>7</v>
      </c>
      <c r="F811" t="s">
        <v>197</v>
      </c>
      <c r="G811">
        <v>34.6</v>
      </c>
      <c r="H811">
        <v>4</v>
      </c>
      <c r="I811">
        <v>19</v>
      </c>
      <c r="J811">
        <v>25</v>
      </c>
      <c r="K811">
        <v>6</v>
      </c>
    </row>
    <row r="812" spans="1:11" x14ac:dyDescent="0.3">
      <c r="A812">
        <v>9.69</v>
      </c>
      <c r="B812" t="s">
        <v>70</v>
      </c>
      <c r="C812" t="s">
        <v>967</v>
      </c>
      <c r="D812" t="s">
        <v>83</v>
      </c>
      <c r="E812">
        <v>7</v>
      </c>
      <c r="F812" t="s">
        <v>332</v>
      </c>
      <c r="G812">
        <v>19.79</v>
      </c>
      <c r="H812">
        <v>36</v>
      </c>
      <c r="I812">
        <v>94</v>
      </c>
      <c r="J812">
        <v>268</v>
      </c>
      <c r="K812">
        <v>174</v>
      </c>
    </row>
    <row r="813" spans="1:11" x14ac:dyDescent="0.3">
      <c r="A813">
        <v>7.02</v>
      </c>
      <c r="B813" t="s">
        <v>70</v>
      </c>
      <c r="C813" t="s">
        <v>968</v>
      </c>
      <c r="D813" t="s">
        <v>130</v>
      </c>
      <c r="E813">
        <v>10</v>
      </c>
      <c r="F813" t="s">
        <v>214</v>
      </c>
      <c r="G813">
        <v>14.15</v>
      </c>
      <c r="H813">
        <v>52</v>
      </c>
      <c r="I813">
        <v>220</v>
      </c>
      <c r="J813">
        <v>450</v>
      </c>
      <c r="K813">
        <v>230</v>
      </c>
    </row>
    <row r="814" spans="1:11" x14ac:dyDescent="0.3">
      <c r="A814">
        <v>7.07</v>
      </c>
      <c r="B814" t="s">
        <v>70</v>
      </c>
      <c r="C814" t="s">
        <v>969</v>
      </c>
      <c r="D814" t="s">
        <v>83</v>
      </c>
      <c r="E814">
        <v>10</v>
      </c>
      <c r="F814" t="s">
        <v>210</v>
      </c>
      <c r="G814">
        <v>12.87</v>
      </c>
      <c r="H814">
        <v>88</v>
      </c>
      <c r="I814">
        <v>335</v>
      </c>
      <c r="J814">
        <v>481</v>
      </c>
      <c r="K814">
        <v>146</v>
      </c>
    </row>
    <row r="815" spans="1:11" x14ac:dyDescent="0.3">
      <c r="A815">
        <v>71.75</v>
      </c>
      <c r="B815" t="s">
        <v>70</v>
      </c>
      <c r="C815" t="s">
        <v>970</v>
      </c>
      <c r="D815" t="s">
        <v>90</v>
      </c>
      <c r="E815">
        <v>7</v>
      </c>
      <c r="F815" t="s">
        <v>189</v>
      </c>
      <c r="G815">
        <v>130.69</v>
      </c>
      <c r="H815">
        <v>73</v>
      </c>
      <c r="I815">
        <v>268</v>
      </c>
      <c r="J815">
        <v>360</v>
      </c>
      <c r="K815">
        <v>92</v>
      </c>
    </row>
    <row r="816" spans="1:11" x14ac:dyDescent="0.3">
      <c r="A816">
        <v>10.4</v>
      </c>
      <c r="B816" t="s">
        <v>70</v>
      </c>
      <c r="C816" t="s">
        <v>971</v>
      </c>
      <c r="D816" t="s">
        <v>77</v>
      </c>
      <c r="E816">
        <v>10</v>
      </c>
      <c r="F816" t="s">
        <v>262</v>
      </c>
      <c r="G816">
        <v>19.63</v>
      </c>
      <c r="H816">
        <v>39</v>
      </c>
      <c r="I816">
        <v>292</v>
      </c>
      <c r="J816">
        <v>388</v>
      </c>
      <c r="K816">
        <v>96</v>
      </c>
    </row>
    <row r="817" spans="1:11" x14ac:dyDescent="0.3">
      <c r="A817">
        <v>25.79</v>
      </c>
      <c r="B817" t="s">
        <v>70</v>
      </c>
      <c r="C817" t="s">
        <v>972</v>
      </c>
      <c r="D817" t="s">
        <v>93</v>
      </c>
      <c r="E817">
        <v>10</v>
      </c>
      <c r="F817" t="s">
        <v>252</v>
      </c>
      <c r="G817">
        <v>48.66</v>
      </c>
      <c r="H817">
        <v>46</v>
      </c>
      <c r="I817">
        <v>158</v>
      </c>
      <c r="J817">
        <v>222</v>
      </c>
      <c r="K817">
        <v>64</v>
      </c>
    </row>
    <row r="818" spans="1:11" x14ac:dyDescent="0.3">
      <c r="A818">
        <v>1.52</v>
      </c>
      <c r="B818" t="s">
        <v>70</v>
      </c>
      <c r="C818" t="s">
        <v>973</v>
      </c>
      <c r="D818" t="s">
        <v>77</v>
      </c>
      <c r="E818">
        <v>10</v>
      </c>
      <c r="F818" t="s">
        <v>116</v>
      </c>
      <c r="G818">
        <v>2.15</v>
      </c>
      <c r="H818">
        <v>19</v>
      </c>
      <c r="I818">
        <v>56</v>
      </c>
      <c r="J818">
        <v>157</v>
      </c>
      <c r="K818">
        <v>101</v>
      </c>
    </row>
    <row r="819" spans="1:11" x14ac:dyDescent="0.3">
      <c r="A819">
        <v>2.69</v>
      </c>
      <c r="B819" t="s">
        <v>70</v>
      </c>
      <c r="C819" t="s">
        <v>974</v>
      </c>
      <c r="D819" t="s">
        <v>83</v>
      </c>
      <c r="E819">
        <v>7</v>
      </c>
      <c r="F819" t="s">
        <v>305</v>
      </c>
      <c r="G819">
        <v>5.05</v>
      </c>
      <c r="H819">
        <v>48</v>
      </c>
      <c r="I819">
        <v>272</v>
      </c>
      <c r="J819">
        <v>482</v>
      </c>
      <c r="K819">
        <v>210</v>
      </c>
    </row>
    <row r="820" spans="1:11" x14ac:dyDescent="0.3">
      <c r="A820">
        <v>32.729999999999997</v>
      </c>
      <c r="B820" t="s">
        <v>70</v>
      </c>
      <c r="C820" t="s">
        <v>975</v>
      </c>
      <c r="D820" t="s">
        <v>93</v>
      </c>
      <c r="E820">
        <v>10</v>
      </c>
      <c r="F820" t="s">
        <v>166</v>
      </c>
      <c r="G820">
        <v>48.96</v>
      </c>
      <c r="H820">
        <v>80</v>
      </c>
      <c r="I820">
        <v>271</v>
      </c>
      <c r="J820">
        <v>399</v>
      </c>
      <c r="K820">
        <v>128</v>
      </c>
    </row>
    <row r="821" spans="1:11" x14ac:dyDescent="0.3">
      <c r="A821">
        <v>16.21</v>
      </c>
      <c r="B821" t="s">
        <v>70</v>
      </c>
      <c r="C821" t="s">
        <v>976</v>
      </c>
      <c r="D821" t="s">
        <v>93</v>
      </c>
      <c r="E821">
        <v>10</v>
      </c>
      <c r="F821" t="s">
        <v>414</v>
      </c>
      <c r="G821">
        <v>25.2</v>
      </c>
      <c r="H821">
        <v>58</v>
      </c>
      <c r="I821">
        <v>195</v>
      </c>
      <c r="J821">
        <v>236</v>
      </c>
      <c r="K821">
        <v>41</v>
      </c>
    </row>
    <row r="822" spans="1:11" x14ac:dyDescent="0.3">
      <c r="A822">
        <v>2.0499999999999998</v>
      </c>
      <c r="B822" t="s">
        <v>70</v>
      </c>
      <c r="C822" t="s">
        <v>977</v>
      </c>
      <c r="D822" t="s">
        <v>83</v>
      </c>
      <c r="E822">
        <v>7</v>
      </c>
      <c r="F822" t="s">
        <v>210</v>
      </c>
      <c r="G822">
        <v>4.16</v>
      </c>
      <c r="H822">
        <v>22</v>
      </c>
      <c r="I822">
        <v>97</v>
      </c>
      <c r="J822">
        <v>196</v>
      </c>
      <c r="K822">
        <v>99</v>
      </c>
    </row>
    <row r="823" spans="1:11" x14ac:dyDescent="0.3">
      <c r="A823">
        <v>45.19</v>
      </c>
      <c r="B823" t="s">
        <v>70</v>
      </c>
      <c r="C823" t="s">
        <v>978</v>
      </c>
      <c r="D823" t="s">
        <v>90</v>
      </c>
      <c r="E823">
        <v>10</v>
      </c>
      <c r="F823" t="s">
        <v>149</v>
      </c>
      <c r="G823">
        <v>87.7</v>
      </c>
      <c r="H823">
        <v>20</v>
      </c>
      <c r="I823">
        <v>60</v>
      </c>
      <c r="J823">
        <v>160</v>
      </c>
      <c r="K823">
        <v>100</v>
      </c>
    </row>
    <row r="824" spans="1:11" x14ac:dyDescent="0.3">
      <c r="A824">
        <v>15.07</v>
      </c>
      <c r="B824" t="s">
        <v>70</v>
      </c>
      <c r="C824" t="s">
        <v>979</v>
      </c>
      <c r="D824" t="s">
        <v>72</v>
      </c>
      <c r="E824">
        <v>7</v>
      </c>
      <c r="F824" t="s">
        <v>73</v>
      </c>
      <c r="G824">
        <v>27.59</v>
      </c>
      <c r="H824">
        <v>32</v>
      </c>
      <c r="I824">
        <v>153</v>
      </c>
      <c r="J824">
        <v>223</v>
      </c>
      <c r="K824">
        <v>70</v>
      </c>
    </row>
    <row r="825" spans="1:11" x14ac:dyDescent="0.3">
      <c r="A825">
        <v>7.44</v>
      </c>
      <c r="B825" t="s">
        <v>70</v>
      </c>
      <c r="C825" t="s">
        <v>980</v>
      </c>
      <c r="D825" t="s">
        <v>83</v>
      </c>
      <c r="E825">
        <v>10</v>
      </c>
      <c r="F825" t="s">
        <v>120</v>
      </c>
      <c r="G825">
        <v>12.36</v>
      </c>
      <c r="H825">
        <v>62</v>
      </c>
      <c r="I825">
        <v>257</v>
      </c>
      <c r="J825">
        <v>305</v>
      </c>
      <c r="K825">
        <v>48</v>
      </c>
    </row>
    <row r="826" spans="1:11" x14ac:dyDescent="0.3">
      <c r="A826">
        <v>11.36</v>
      </c>
      <c r="B826" t="s">
        <v>70</v>
      </c>
      <c r="C826" t="s">
        <v>981</v>
      </c>
      <c r="D826" t="s">
        <v>77</v>
      </c>
      <c r="E826">
        <v>10</v>
      </c>
      <c r="F826" t="s">
        <v>140</v>
      </c>
      <c r="G826">
        <v>19.260000000000002</v>
      </c>
      <c r="H826">
        <v>40</v>
      </c>
      <c r="I826">
        <v>163</v>
      </c>
      <c r="J826">
        <v>188</v>
      </c>
      <c r="K826">
        <v>25</v>
      </c>
    </row>
    <row r="827" spans="1:11" x14ac:dyDescent="0.3">
      <c r="A827">
        <v>23.46</v>
      </c>
      <c r="B827" t="s">
        <v>70</v>
      </c>
      <c r="C827" t="s">
        <v>982</v>
      </c>
      <c r="D827" t="s">
        <v>87</v>
      </c>
      <c r="E827">
        <v>7</v>
      </c>
      <c r="F827" t="s">
        <v>112</v>
      </c>
      <c r="G827">
        <v>45.14</v>
      </c>
      <c r="H827">
        <v>4</v>
      </c>
      <c r="I827">
        <v>24</v>
      </c>
      <c r="J827">
        <v>28</v>
      </c>
      <c r="K827">
        <v>4</v>
      </c>
    </row>
    <row r="828" spans="1:11" x14ac:dyDescent="0.3">
      <c r="A828">
        <v>1.08</v>
      </c>
      <c r="B828" t="s">
        <v>70</v>
      </c>
      <c r="C828" t="s">
        <v>983</v>
      </c>
      <c r="D828" t="s">
        <v>77</v>
      </c>
      <c r="E828">
        <v>10</v>
      </c>
      <c r="F828" t="s">
        <v>78</v>
      </c>
      <c r="G828">
        <v>2.17</v>
      </c>
      <c r="H828">
        <v>22</v>
      </c>
      <c r="I828">
        <v>105</v>
      </c>
      <c r="J828">
        <v>146</v>
      </c>
      <c r="K828">
        <v>41</v>
      </c>
    </row>
    <row r="829" spans="1:11" x14ac:dyDescent="0.3">
      <c r="A829">
        <v>10.93</v>
      </c>
      <c r="B829" t="s">
        <v>70</v>
      </c>
      <c r="C829" t="s">
        <v>984</v>
      </c>
      <c r="D829" t="s">
        <v>80</v>
      </c>
      <c r="E829">
        <v>7</v>
      </c>
      <c r="F829" t="s">
        <v>233</v>
      </c>
      <c r="G829">
        <v>16.350000000000001</v>
      </c>
      <c r="H829">
        <v>47</v>
      </c>
      <c r="I829">
        <v>209</v>
      </c>
      <c r="J829">
        <v>457</v>
      </c>
      <c r="K829">
        <v>248</v>
      </c>
    </row>
    <row r="830" spans="1:11" x14ac:dyDescent="0.3">
      <c r="A830">
        <v>18.16</v>
      </c>
      <c r="B830" t="s">
        <v>70</v>
      </c>
      <c r="C830" t="s">
        <v>985</v>
      </c>
      <c r="D830" t="s">
        <v>93</v>
      </c>
      <c r="E830">
        <v>10</v>
      </c>
      <c r="F830" t="s">
        <v>94</v>
      </c>
      <c r="G830">
        <v>36.76</v>
      </c>
      <c r="H830">
        <v>16</v>
      </c>
      <c r="I830">
        <v>46</v>
      </c>
      <c r="J830">
        <v>72</v>
      </c>
      <c r="K830">
        <v>26</v>
      </c>
    </row>
    <row r="831" spans="1:11" x14ac:dyDescent="0.3">
      <c r="A831">
        <v>14.41</v>
      </c>
      <c r="B831" t="s">
        <v>70</v>
      </c>
      <c r="C831" t="s">
        <v>986</v>
      </c>
      <c r="D831" t="s">
        <v>87</v>
      </c>
      <c r="E831">
        <v>10</v>
      </c>
      <c r="F831" t="s">
        <v>122</v>
      </c>
      <c r="G831">
        <v>21.81</v>
      </c>
      <c r="H831">
        <v>56</v>
      </c>
      <c r="I831">
        <v>242</v>
      </c>
      <c r="J831">
        <v>432</v>
      </c>
      <c r="K831">
        <v>190</v>
      </c>
    </row>
    <row r="832" spans="1:11" x14ac:dyDescent="0.3">
      <c r="A832">
        <v>8.69</v>
      </c>
      <c r="B832" t="s">
        <v>70</v>
      </c>
      <c r="C832" t="s">
        <v>987</v>
      </c>
      <c r="D832" t="s">
        <v>87</v>
      </c>
      <c r="E832">
        <v>7</v>
      </c>
      <c r="F832" t="s">
        <v>110</v>
      </c>
      <c r="G832">
        <v>18.8</v>
      </c>
      <c r="H832">
        <v>24</v>
      </c>
      <c r="I832">
        <v>93</v>
      </c>
      <c r="J832">
        <v>104</v>
      </c>
      <c r="K832">
        <v>11</v>
      </c>
    </row>
    <row r="833" spans="1:11" x14ac:dyDescent="0.3">
      <c r="A833">
        <v>21.01</v>
      </c>
      <c r="B833" t="s">
        <v>70</v>
      </c>
      <c r="C833" t="s">
        <v>988</v>
      </c>
      <c r="D833" t="s">
        <v>93</v>
      </c>
      <c r="E833">
        <v>7</v>
      </c>
      <c r="F833" t="s">
        <v>424</v>
      </c>
      <c r="G833">
        <v>36.229999999999997</v>
      </c>
      <c r="H833">
        <v>3</v>
      </c>
      <c r="I833">
        <v>7</v>
      </c>
      <c r="J833">
        <v>20</v>
      </c>
      <c r="K833">
        <v>13</v>
      </c>
    </row>
    <row r="834" spans="1:11" x14ac:dyDescent="0.3">
      <c r="A834">
        <v>9.91</v>
      </c>
      <c r="B834" t="s">
        <v>70</v>
      </c>
      <c r="C834" t="s">
        <v>989</v>
      </c>
      <c r="D834" t="s">
        <v>83</v>
      </c>
      <c r="E834">
        <v>10</v>
      </c>
      <c r="F834" t="s">
        <v>100</v>
      </c>
      <c r="G834">
        <v>21.53</v>
      </c>
      <c r="H834">
        <v>34</v>
      </c>
      <c r="I834">
        <v>155</v>
      </c>
      <c r="J834">
        <v>201</v>
      </c>
      <c r="K834">
        <v>46</v>
      </c>
    </row>
    <row r="835" spans="1:11" x14ac:dyDescent="0.3">
      <c r="A835">
        <v>14.75</v>
      </c>
      <c r="B835" t="s">
        <v>70</v>
      </c>
      <c r="C835" t="s">
        <v>990</v>
      </c>
      <c r="D835" t="s">
        <v>83</v>
      </c>
      <c r="E835">
        <v>10</v>
      </c>
      <c r="F835" t="s">
        <v>202</v>
      </c>
      <c r="G835">
        <v>26.51</v>
      </c>
      <c r="H835">
        <v>40</v>
      </c>
      <c r="I835">
        <v>263</v>
      </c>
      <c r="J835">
        <v>349</v>
      </c>
      <c r="K835">
        <v>86</v>
      </c>
    </row>
    <row r="836" spans="1:11" x14ac:dyDescent="0.3">
      <c r="A836">
        <v>13.31</v>
      </c>
      <c r="B836" t="s">
        <v>70</v>
      </c>
      <c r="C836" t="s">
        <v>991</v>
      </c>
      <c r="D836" t="s">
        <v>80</v>
      </c>
      <c r="E836">
        <v>7</v>
      </c>
      <c r="F836" t="s">
        <v>98</v>
      </c>
      <c r="G836">
        <v>24.5</v>
      </c>
      <c r="H836">
        <v>86</v>
      </c>
      <c r="I836">
        <v>171</v>
      </c>
      <c r="J836">
        <v>372</v>
      </c>
      <c r="K836">
        <v>201</v>
      </c>
    </row>
    <row r="837" spans="1:11" x14ac:dyDescent="0.3">
      <c r="A837">
        <v>2.62</v>
      </c>
      <c r="B837" t="s">
        <v>70</v>
      </c>
      <c r="C837" t="s">
        <v>992</v>
      </c>
      <c r="D837" t="s">
        <v>77</v>
      </c>
      <c r="E837">
        <v>10</v>
      </c>
      <c r="F837" t="s">
        <v>116</v>
      </c>
      <c r="G837">
        <v>5.0199999999999996</v>
      </c>
      <c r="H837">
        <v>39</v>
      </c>
      <c r="I837">
        <v>41</v>
      </c>
      <c r="J837">
        <v>161</v>
      </c>
      <c r="K837">
        <v>120</v>
      </c>
    </row>
    <row r="838" spans="1:11" x14ac:dyDescent="0.3">
      <c r="A838">
        <v>4.8099999999999996</v>
      </c>
      <c r="B838" t="s">
        <v>70</v>
      </c>
      <c r="C838" t="s">
        <v>993</v>
      </c>
      <c r="D838" t="s">
        <v>83</v>
      </c>
      <c r="E838">
        <v>10</v>
      </c>
      <c r="F838" t="s">
        <v>175</v>
      </c>
      <c r="G838">
        <v>9.86</v>
      </c>
      <c r="H838">
        <v>55</v>
      </c>
      <c r="I838">
        <v>167</v>
      </c>
      <c r="J838">
        <v>379</v>
      </c>
      <c r="K838">
        <v>212</v>
      </c>
    </row>
    <row r="839" spans="1:11" x14ac:dyDescent="0.3">
      <c r="A839">
        <v>5.44</v>
      </c>
      <c r="B839" t="s">
        <v>70</v>
      </c>
      <c r="C839" t="s">
        <v>994</v>
      </c>
      <c r="D839" t="s">
        <v>80</v>
      </c>
      <c r="E839">
        <v>10</v>
      </c>
      <c r="F839" t="s">
        <v>356</v>
      </c>
      <c r="G839">
        <v>8.2100000000000009</v>
      </c>
      <c r="H839">
        <v>26</v>
      </c>
      <c r="I839">
        <v>96</v>
      </c>
      <c r="J839">
        <v>108</v>
      </c>
      <c r="K839">
        <v>12</v>
      </c>
    </row>
    <row r="840" spans="1:11" x14ac:dyDescent="0.3">
      <c r="A840">
        <v>24.42</v>
      </c>
      <c r="B840" t="s">
        <v>70</v>
      </c>
      <c r="C840" t="s">
        <v>995</v>
      </c>
      <c r="D840" t="s">
        <v>130</v>
      </c>
      <c r="E840">
        <v>10</v>
      </c>
      <c r="F840" t="s">
        <v>192</v>
      </c>
      <c r="G840">
        <v>44.04</v>
      </c>
      <c r="H840">
        <v>66</v>
      </c>
      <c r="I840">
        <v>113</v>
      </c>
      <c r="J840">
        <v>497</v>
      </c>
      <c r="K840">
        <v>384</v>
      </c>
    </row>
    <row r="841" spans="1:11" x14ac:dyDescent="0.3">
      <c r="A841">
        <v>10.72</v>
      </c>
      <c r="B841" t="s">
        <v>70</v>
      </c>
      <c r="C841" t="s">
        <v>996</v>
      </c>
      <c r="D841" t="s">
        <v>77</v>
      </c>
      <c r="E841">
        <v>7</v>
      </c>
      <c r="F841" t="s">
        <v>140</v>
      </c>
      <c r="G841">
        <v>14.34</v>
      </c>
      <c r="H841">
        <v>98</v>
      </c>
      <c r="I841">
        <v>220</v>
      </c>
      <c r="J841">
        <v>447</v>
      </c>
      <c r="K841">
        <v>227</v>
      </c>
    </row>
    <row r="842" spans="1:11" x14ac:dyDescent="0.3">
      <c r="A842">
        <v>12.99</v>
      </c>
      <c r="B842" t="s">
        <v>70</v>
      </c>
      <c r="C842" t="s">
        <v>997</v>
      </c>
      <c r="D842" t="s">
        <v>72</v>
      </c>
      <c r="E842">
        <v>7</v>
      </c>
      <c r="F842" t="s">
        <v>463</v>
      </c>
      <c r="G842">
        <v>22.83</v>
      </c>
      <c r="H842">
        <v>78</v>
      </c>
      <c r="I842">
        <v>354</v>
      </c>
      <c r="J842">
        <v>484</v>
      </c>
      <c r="K842">
        <v>130</v>
      </c>
    </row>
    <row r="843" spans="1:11" x14ac:dyDescent="0.3">
      <c r="A843">
        <v>17.16</v>
      </c>
      <c r="B843" t="s">
        <v>70</v>
      </c>
      <c r="C843" t="s">
        <v>998</v>
      </c>
      <c r="D843" t="s">
        <v>80</v>
      </c>
      <c r="E843">
        <v>7</v>
      </c>
      <c r="F843" t="s">
        <v>114</v>
      </c>
      <c r="G843">
        <v>32.72</v>
      </c>
      <c r="H843">
        <v>25</v>
      </c>
      <c r="I843">
        <v>200</v>
      </c>
      <c r="J843">
        <v>247</v>
      </c>
      <c r="K843">
        <v>47</v>
      </c>
    </row>
    <row r="844" spans="1:11" x14ac:dyDescent="0.3">
      <c r="A844">
        <v>15.03</v>
      </c>
      <c r="B844" t="s">
        <v>70</v>
      </c>
      <c r="C844" t="s">
        <v>999</v>
      </c>
      <c r="D844" t="s">
        <v>80</v>
      </c>
      <c r="E844">
        <v>7</v>
      </c>
      <c r="F844" t="s">
        <v>114</v>
      </c>
      <c r="G844">
        <v>23.18</v>
      </c>
      <c r="H844">
        <v>55</v>
      </c>
      <c r="I844">
        <v>96</v>
      </c>
      <c r="J844">
        <v>331</v>
      </c>
      <c r="K844">
        <v>235</v>
      </c>
    </row>
    <row r="845" spans="1:11" x14ac:dyDescent="0.3">
      <c r="A845">
        <v>5.0199999999999996</v>
      </c>
      <c r="B845" t="s">
        <v>70</v>
      </c>
      <c r="C845" t="s">
        <v>1000</v>
      </c>
      <c r="D845" t="s">
        <v>80</v>
      </c>
      <c r="E845">
        <v>10</v>
      </c>
      <c r="F845" t="s">
        <v>106</v>
      </c>
      <c r="G845">
        <v>7.14</v>
      </c>
      <c r="H845">
        <v>12</v>
      </c>
      <c r="I845">
        <v>26</v>
      </c>
      <c r="J845">
        <v>100</v>
      </c>
      <c r="K845">
        <v>74</v>
      </c>
    </row>
    <row r="846" spans="1:11" x14ac:dyDescent="0.3">
      <c r="A846">
        <v>5.34</v>
      </c>
      <c r="B846" t="s">
        <v>70</v>
      </c>
      <c r="C846" t="s">
        <v>1001</v>
      </c>
      <c r="D846" t="s">
        <v>72</v>
      </c>
      <c r="E846">
        <v>10</v>
      </c>
      <c r="F846" t="s">
        <v>73</v>
      </c>
      <c r="G846">
        <v>11.13</v>
      </c>
      <c r="H846">
        <v>62</v>
      </c>
      <c r="I846">
        <v>235</v>
      </c>
      <c r="J846">
        <v>410</v>
      </c>
      <c r="K846">
        <v>175</v>
      </c>
    </row>
    <row r="847" spans="1:11" x14ac:dyDescent="0.3">
      <c r="A847">
        <v>12.94</v>
      </c>
      <c r="B847" t="s">
        <v>70</v>
      </c>
      <c r="C847" t="s">
        <v>1002</v>
      </c>
      <c r="D847" t="s">
        <v>80</v>
      </c>
      <c r="E847">
        <v>10</v>
      </c>
      <c r="F847" t="s">
        <v>233</v>
      </c>
      <c r="G847">
        <v>24.49</v>
      </c>
      <c r="H847">
        <v>34</v>
      </c>
      <c r="I847">
        <v>119</v>
      </c>
      <c r="J847">
        <v>166</v>
      </c>
      <c r="K847">
        <v>47</v>
      </c>
    </row>
    <row r="848" spans="1:11" x14ac:dyDescent="0.3">
      <c r="A848">
        <v>12.12</v>
      </c>
      <c r="B848" t="s">
        <v>70</v>
      </c>
      <c r="C848" t="s">
        <v>1003</v>
      </c>
      <c r="D848" t="s">
        <v>87</v>
      </c>
      <c r="E848">
        <v>7</v>
      </c>
      <c r="F848" t="s">
        <v>337</v>
      </c>
      <c r="G848">
        <v>24.34</v>
      </c>
      <c r="H848">
        <v>45</v>
      </c>
      <c r="I848">
        <v>62</v>
      </c>
      <c r="J848">
        <v>293</v>
      </c>
      <c r="K848">
        <v>231</v>
      </c>
    </row>
    <row r="849" spans="1:11" x14ac:dyDescent="0.3">
      <c r="A849">
        <v>24.57</v>
      </c>
      <c r="B849" t="s">
        <v>70</v>
      </c>
      <c r="C849" t="s">
        <v>1004</v>
      </c>
      <c r="D849" t="s">
        <v>87</v>
      </c>
      <c r="E849">
        <v>10</v>
      </c>
      <c r="F849" t="s">
        <v>88</v>
      </c>
      <c r="G849">
        <v>43.9</v>
      </c>
      <c r="H849">
        <v>42</v>
      </c>
      <c r="I849">
        <v>83</v>
      </c>
      <c r="J849">
        <v>289</v>
      </c>
      <c r="K849">
        <v>206</v>
      </c>
    </row>
    <row r="850" spans="1:11" x14ac:dyDescent="0.3">
      <c r="A850">
        <v>3.31</v>
      </c>
      <c r="B850" t="s">
        <v>70</v>
      </c>
      <c r="C850" t="s">
        <v>1005</v>
      </c>
      <c r="D850" t="s">
        <v>77</v>
      </c>
      <c r="E850">
        <v>10</v>
      </c>
      <c r="F850" t="s">
        <v>78</v>
      </c>
      <c r="G850">
        <v>6.9</v>
      </c>
      <c r="H850">
        <v>82</v>
      </c>
      <c r="I850">
        <v>112</v>
      </c>
      <c r="J850">
        <v>401</v>
      </c>
      <c r="K850">
        <v>289</v>
      </c>
    </row>
    <row r="851" spans="1:11" x14ac:dyDescent="0.3">
      <c r="A851">
        <v>65.02</v>
      </c>
      <c r="B851" t="s">
        <v>70</v>
      </c>
      <c r="C851" t="s">
        <v>1006</v>
      </c>
      <c r="D851" t="s">
        <v>90</v>
      </c>
      <c r="E851">
        <v>7</v>
      </c>
      <c r="F851" t="s">
        <v>177</v>
      </c>
      <c r="G851">
        <v>127.42</v>
      </c>
      <c r="H851">
        <v>26</v>
      </c>
      <c r="I851">
        <v>93</v>
      </c>
      <c r="J851">
        <v>116</v>
      </c>
      <c r="K851">
        <v>23</v>
      </c>
    </row>
    <row r="852" spans="1:11" x14ac:dyDescent="0.3">
      <c r="A852">
        <v>8.6</v>
      </c>
      <c r="B852" t="s">
        <v>70</v>
      </c>
      <c r="C852" t="s">
        <v>1007</v>
      </c>
      <c r="D852" t="s">
        <v>72</v>
      </c>
      <c r="E852">
        <v>7</v>
      </c>
      <c r="F852" t="s">
        <v>197</v>
      </c>
      <c r="G852">
        <v>18.34</v>
      </c>
      <c r="H852">
        <v>12</v>
      </c>
      <c r="I852">
        <v>48</v>
      </c>
      <c r="J852">
        <v>56</v>
      </c>
      <c r="K852">
        <v>8</v>
      </c>
    </row>
    <row r="853" spans="1:11" x14ac:dyDescent="0.3">
      <c r="A853">
        <v>12.87</v>
      </c>
      <c r="B853" t="s">
        <v>70</v>
      </c>
      <c r="C853" t="s">
        <v>1008</v>
      </c>
      <c r="D853" t="s">
        <v>83</v>
      </c>
      <c r="E853">
        <v>10</v>
      </c>
      <c r="F853" t="s">
        <v>307</v>
      </c>
      <c r="G853">
        <v>23.12</v>
      </c>
      <c r="H853">
        <v>84</v>
      </c>
      <c r="I853">
        <v>101</v>
      </c>
      <c r="J853">
        <v>377</v>
      </c>
      <c r="K853">
        <v>276</v>
      </c>
    </row>
    <row r="854" spans="1:11" x14ac:dyDescent="0.3">
      <c r="A854">
        <v>2.58</v>
      </c>
      <c r="B854" t="s">
        <v>70</v>
      </c>
      <c r="C854" t="s">
        <v>1009</v>
      </c>
      <c r="D854" t="s">
        <v>87</v>
      </c>
      <c r="E854">
        <v>10</v>
      </c>
      <c r="F854" t="s">
        <v>303</v>
      </c>
      <c r="G854">
        <v>5.05</v>
      </c>
      <c r="H854">
        <v>24</v>
      </c>
      <c r="I854">
        <v>56</v>
      </c>
      <c r="J854">
        <v>134</v>
      </c>
      <c r="K854">
        <v>78</v>
      </c>
    </row>
    <row r="855" spans="1:11" x14ac:dyDescent="0.3">
      <c r="A855">
        <v>23.78</v>
      </c>
      <c r="B855" t="s">
        <v>1010</v>
      </c>
      <c r="C855" t="s">
        <v>1011</v>
      </c>
      <c r="D855" t="s">
        <v>130</v>
      </c>
      <c r="E855">
        <v>1</v>
      </c>
      <c r="F855" t="s">
        <v>173</v>
      </c>
      <c r="G855">
        <v>38.89</v>
      </c>
      <c r="H855">
        <v>30</v>
      </c>
      <c r="I855">
        <v>17</v>
      </c>
      <c r="J855">
        <v>135</v>
      </c>
      <c r="K855">
        <v>118</v>
      </c>
    </row>
    <row r="856" spans="1:11" x14ac:dyDescent="0.3">
      <c r="A856">
        <v>9.7200000000000006</v>
      </c>
      <c r="B856" t="s">
        <v>1010</v>
      </c>
      <c r="C856" t="s">
        <v>1012</v>
      </c>
      <c r="D856" t="s">
        <v>87</v>
      </c>
      <c r="E856">
        <v>4</v>
      </c>
      <c r="F856" t="s">
        <v>110</v>
      </c>
      <c r="G856">
        <v>18.010000000000002</v>
      </c>
      <c r="H856">
        <v>39</v>
      </c>
      <c r="I856">
        <v>33</v>
      </c>
      <c r="J856">
        <v>173</v>
      </c>
      <c r="K856">
        <v>140</v>
      </c>
    </row>
    <row r="857" spans="1:11" x14ac:dyDescent="0.3">
      <c r="A857">
        <v>20.77</v>
      </c>
      <c r="B857" t="s">
        <v>1010</v>
      </c>
      <c r="C857" t="s">
        <v>1013</v>
      </c>
      <c r="D857" t="s">
        <v>72</v>
      </c>
      <c r="E857">
        <v>6</v>
      </c>
      <c r="F857" t="s">
        <v>265</v>
      </c>
      <c r="G857">
        <v>30.26</v>
      </c>
      <c r="H857">
        <v>33</v>
      </c>
      <c r="I857">
        <v>17</v>
      </c>
      <c r="J857">
        <v>160</v>
      </c>
      <c r="K857">
        <v>143</v>
      </c>
    </row>
    <row r="858" spans="1:11" x14ac:dyDescent="0.3">
      <c r="A858">
        <v>6.76</v>
      </c>
      <c r="B858" t="s">
        <v>1010</v>
      </c>
      <c r="C858" t="s">
        <v>1014</v>
      </c>
      <c r="D858" t="s">
        <v>83</v>
      </c>
      <c r="E858">
        <v>4</v>
      </c>
      <c r="F858" t="s">
        <v>206</v>
      </c>
      <c r="G858">
        <v>12.14</v>
      </c>
      <c r="H858">
        <v>109</v>
      </c>
      <c r="I858">
        <v>77</v>
      </c>
      <c r="J858">
        <v>458</v>
      </c>
      <c r="K858">
        <v>381</v>
      </c>
    </row>
    <row r="859" spans="1:11" x14ac:dyDescent="0.3">
      <c r="A859">
        <v>11.25</v>
      </c>
      <c r="B859" t="s">
        <v>1010</v>
      </c>
      <c r="C859" t="s">
        <v>1015</v>
      </c>
      <c r="D859" t="s">
        <v>83</v>
      </c>
      <c r="E859">
        <v>2</v>
      </c>
      <c r="F859" t="s">
        <v>202</v>
      </c>
      <c r="G859">
        <v>18.59</v>
      </c>
      <c r="H859">
        <v>35</v>
      </c>
      <c r="I859">
        <v>17</v>
      </c>
      <c r="J859">
        <v>200</v>
      </c>
      <c r="K859">
        <v>183</v>
      </c>
    </row>
    <row r="860" spans="1:11" x14ac:dyDescent="0.3">
      <c r="A860">
        <v>22.99</v>
      </c>
      <c r="B860" t="s">
        <v>1010</v>
      </c>
      <c r="C860" t="s">
        <v>1016</v>
      </c>
      <c r="D860" t="s">
        <v>87</v>
      </c>
      <c r="E860">
        <v>6</v>
      </c>
      <c r="F860" t="s">
        <v>112</v>
      </c>
      <c r="G860">
        <v>41.67</v>
      </c>
      <c r="H860">
        <v>48</v>
      </c>
      <c r="I860">
        <v>35</v>
      </c>
      <c r="J860">
        <v>322</v>
      </c>
      <c r="K860">
        <v>287</v>
      </c>
    </row>
    <row r="861" spans="1:11" x14ac:dyDescent="0.3">
      <c r="A861">
        <v>10.47</v>
      </c>
      <c r="B861" t="s">
        <v>1010</v>
      </c>
      <c r="C861" t="s">
        <v>1017</v>
      </c>
      <c r="D861" t="s">
        <v>77</v>
      </c>
      <c r="E861">
        <v>10</v>
      </c>
      <c r="F861" t="s">
        <v>180</v>
      </c>
      <c r="G861">
        <v>18.100000000000001</v>
      </c>
      <c r="H861">
        <v>12</v>
      </c>
      <c r="I861">
        <v>9</v>
      </c>
      <c r="J861">
        <v>117</v>
      </c>
      <c r="K861">
        <v>108</v>
      </c>
    </row>
    <row r="862" spans="1:11" x14ac:dyDescent="0.3">
      <c r="A862">
        <v>23.76</v>
      </c>
      <c r="B862" t="s">
        <v>1010</v>
      </c>
      <c r="C862" t="s">
        <v>1018</v>
      </c>
      <c r="D862" t="s">
        <v>87</v>
      </c>
      <c r="E862">
        <v>3</v>
      </c>
      <c r="F862" t="s">
        <v>110</v>
      </c>
      <c r="G862">
        <v>47.93</v>
      </c>
      <c r="H862">
        <v>63</v>
      </c>
      <c r="I862">
        <v>26</v>
      </c>
      <c r="J862">
        <v>316</v>
      </c>
      <c r="K862">
        <v>290</v>
      </c>
    </row>
    <row r="863" spans="1:11" x14ac:dyDescent="0.3">
      <c r="A863">
        <v>3.58</v>
      </c>
      <c r="B863" t="s">
        <v>1010</v>
      </c>
      <c r="C863" t="s">
        <v>1019</v>
      </c>
      <c r="D863" t="s">
        <v>77</v>
      </c>
      <c r="E863">
        <v>6</v>
      </c>
      <c r="F863" t="s">
        <v>349</v>
      </c>
      <c r="G863">
        <v>6.74</v>
      </c>
      <c r="H863">
        <v>63</v>
      </c>
      <c r="I863">
        <v>29</v>
      </c>
      <c r="J863">
        <v>272</v>
      </c>
      <c r="K863">
        <v>243</v>
      </c>
    </row>
    <row r="864" spans="1:11" x14ac:dyDescent="0.3">
      <c r="A864">
        <v>24.64</v>
      </c>
      <c r="B864" t="s">
        <v>1010</v>
      </c>
      <c r="C864" t="s">
        <v>1020</v>
      </c>
      <c r="D864" t="s">
        <v>93</v>
      </c>
      <c r="E864">
        <v>8</v>
      </c>
      <c r="F864" t="s">
        <v>222</v>
      </c>
      <c r="G864">
        <v>41.77</v>
      </c>
      <c r="H864">
        <v>5</v>
      </c>
      <c r="I864">
        <v>4</v>
      </c>
      <c r="J864">
        <v>42</v>
      </c>
      <c r="K864">
        <v>38</v>
      </c>
    </row>
    <row r="865" spans="1:11" x14ac:dyDescent="0.3">
      <c r="A865">
        <v>8.08</v>
      </c>
      <c r="B865" t="s">
        <v>1010</v>
      </c>
      <c r="C865" t="s">
        <v>1021</v>
      </c>
      <c r="D865" t="s">
        <v>77</v>
      </c>
      <c r="E865">
        <v>8</v>
      </c>
      <c r="F865" t="s">
        <v>257</v>
      </c>
      <c r="G865">
        <v>14.43</v>
      </c>
      <c r="H865">
        <v>9</v>
      </c>
      <c r="I865">
        <v>6</v>
      </c>
      <c r="J865">
        <v>62</v>
      </c>
      <c r="K865">
        <v>56</v>
      </c>
    </row>
    <row r="866" spans="1:11" x14ac:dyDescent="0.3">
      <c r="A866">
        <v>22.91</v>
      </c>
      <c r="B866" t="s">
        <v>1010</v>
      </c>
      <c r="C866" t="s">
        <v>1022</v>
      </c>
      <c r="D866" t="s">
        <v>72</v>
      </c>
      <c r="E866">
        <v>6</v>
      </c>
      <c r="F866" t="s">
        <v>265</v>
      </c>
      <c r="G866">
        <v>40.42</v>
      </c>
      <c r="H866">
        <v>17</v>
      </c>
      <c r="I866">
        <v>10</v>
      </c>
      <c r="J866">
        <v>75</v>
      </c>
      <c r="K866">
        <v>65</v>
      </c>
    </row>
    <row r="867" spans="1:11" x14ac:dyDescent="0.3">
      <c r="A867">
        <v>14.11</v>
      </c>
      <c r="B867" t="s">
        <v>1010</v>
      </c>
      <c r="C867" t="s">
        <v>1023</v>
      </c>
      <c r="D867" t="s">
        <v>87</v>
      </c>
      <c r="E867">
        <v>5</v>
      </c>
      <c r="F867" t="s">
        <v>147</v>
      </c>
      <c r="G867">
        <v>21.45</v>
      </c>
      <c r="H867">
        <v>26</v>
      </c>
      <c r="I867">
        <v>26</v>
      </c>
      <c r="J867">
        <v>232</v>
      </c>
      <c r="K867">
        <v>206</v>
      </c>
    </row>
    <row r="868" spans="1:11" x14ac:dyDescent="0.3">
      <c r="A868">
        <v>7.32</v>
      </c>
      <c r="B868" t="s">
        <v>1010</v>
      </c>
      <c r="C868" t="s">
        <v>1024</v>
      </c>
      <c r="D868" t="s">
        <v>77</v>
      </c>
      <c r="E868">
        <v>3</v>
      </c>
      <c r="F868" t="s">
        <v>116</v>
      </c>
      <c r="G868">
        <v>14.41</v>
      </c>
      <c r="H868">
        <v>48</v>
      </c>
      <c r="I868">
        <v>47</v>
      </c>
      <c r="J868">
        <v>197</v>
      </c>
      <c r="K868">
        <v>150</v>
      </c>
    </row>
    <row r="869" spans="1:11" x14ac:dyDescent="0.3">
      <c r="A869">
        <v>11.55</v>
      </c>
      <c r="B869" t="s">
        <v>1010</v>
      </c>
      <c r="C869" t="s">
        <v>1025</v>
      </c>
      <c r="D869" t="s">
        <v>93</v>
      </c>
      <c r="E869">
        <v>3</v>
      </c>
      <c r="F869" t="s">
        <v>424</v>
      </c>
      <c r="G869">
        <v>24.87</v>
      </c>
      <c r="H869">
        <v>31</v>
      </c>
      <c r="I869">
        <v>15</v>
      </c>
      <c r="J869">
        <v>163</v>
      </c>
      <c r="K869">
        <v>148</v>
      </c>
    </row>
    <row r="870" spans="1:11" x14ac:dyDescent="0.3">
      <c r="A870">
        <v>35.15</v>
      </c>
      <c r="B870" t="s">
        <v>1010</v>
      </c>
      <c r="C870" t="s">
        <v>1026</v>
      </c>
      <c r="D870" t="s">
        <v>90</v>
      </c>
      <c r="E870">
        <v>10</v>
      </c>
      <c r="F870" t="s">
        <v>91</v>
      </c>
      <c r="G870">
        <v>48.36</v>
      </c>
      <c r="H870">
        <v>63</v>
      </c>
      <c r="I870">
        <v>55</v>
      </c>
      <c r="J870">
        <v>331</v>
      </c>
      <c r="K870">
        <v>276</v>
      </c>
    </row>
    <row r="871" spans="1:11" x14ac:dyDescent="0.3">
      <c r="A871">
        <v>7.58</v>
      </c>
      <c r="B871" t="s">
        <v>1010</v>
      </c>
      <c r="C871" t="s">
        <v>1027</v>
      </c>
      <c r="D871" t="s">
        <v>77</v>
      </c>
      <c r="E871">
        <v>2</v>
      </c>
      <c r="F871" t="s">
        <v>349</v>
      </c>
      <c r="G871">
        <v>12.38</v>
      </c>
      <c r="H871">
        <v>28</v>
      </c>
      <c r="I871">
        <v>17</v>
      </c>
      <c r="J871">
        <v>195</v>
      </c>
      <c r="K871">
        <v>178</v>
      </c>
    </row>
    <row r="872" spans="1:11" x14ac:dyDescent="0.3">
      <c r="A872">
        <v>4.0199999999999996</v>
      </c>
      <c r="B872" t="s">
        <v>1010</v>
      </c>
      <c r="C872" t="s">
        <v>1028</v>
      </c>
      <c r="D872" t="s">
        <v>80</v>
      </c>
      <c r="E872">
        <v>8</v>
      </c>
      <c r="F872" t="s">
        <v>356</v>
      </c>
      <c r="G872">
        <v>6.5</v>
      </c>
      <c r="H872">
        <v>19</v>
      </c>
      <c r="I872">
        <v>10</v>
      </c>
      <c r="J872">
        <v>83</v>
      </c>
      <c r="K872">
        <v>73</v>
      </c>
    </row>
    <row r="873" spans="1:11" x14ac:dyDescent="0.3">
      <c r="A873">
        <v>17.82</v>
      </c>
      <c r="B873" t="s">
        <v>1010</v>
      </c>
      <c r="C873" t="s">
        <v>1029</v>
      </c>
      <c r="D873" t="s">
        <v>80</v>
      </c>
      <c r="E873">
        <v>5</v>
      </c>
      <c r="F873" t="s">
        <v>136</v>
      </c>
      <c r="G873">
        <v>32.299999999999997</v>
      </c>
      <c r="H873">
        <v>15</v>
      </c>
      <c r="I873">
        <v>11</v>
      </c>
      <c r="J873">
        <v>74</v>
      </c>
      <c r="K873">
        <v>63</v>
      </c>
    </row>
    <row r="874" spans="1:11" x14ac:dyDescent="0.3">
      <c r="A874">
        <v>3.65</v>
      </c>
      <c r="B874" t="s">
        <v>1010</v>
      </c>
      <c r="C874" t="s">
        <v>1030</v>
      </c>
      <c r="D874" t="s">
        <v>77</v>
      </c>
      <c r="E874">
        <v>6</v>
      </c>
      <c r="F874" t="s">
        <v>349</v>
      </c>
      <c r="G874">
        <v>7.04</v>
      </c>
      <c r="H874">
        <v>76</v>
      </c>
      <c r="I874">
        <v>41</v>
      </c>
      <c r="J874">
        <v>411</v>
      </c>
      <c r="K874">
        <v>370</v>
      </c>
    </row>
    <row r="875" spans="1:11" x14ac:dyDescent="0.3">
      <c r="A875">
        <v>26.24</v>
      </c>
      <c r="B875" t="s">
        <v>1010</v>
      </c>
      <c r="C875" t="s">
        <v>1031</v>
      </c>
      <c r="D875" t="s">
        <v>90</v>
      </c>
      <c r="E875">
        <v>2</v>
      </c>
      <c r="F875" t="s">
        <v>127</v>
      </c>
      <c r="G875">
        <v>36.090000000000003</v>
      </c>
      <c r="H875">
        <v>97</v>
      </c>
      <c r="I875">
        <v>88</v>
      </c>
      <c r="J875">
        <v>495</v>
      </c>
      <c r="K875">
        <v>407</v>
      </c>
    </row>
    <row r="876" spans="1:11" x14ac:dyDescent="0.3">
      <c r="A876">
        <v>41.83</v>
      </c>
      <c r="B876" t="s">
        <v>1010</v>
      </c>
      <c r="C876" t="s">
        <v>1032</v>
      </c>
      <c r="D876" t="s">
        <v>90</v>
      </c>
      <c r="E876">
        <v>8</v>
      </c>
      <c r="F876" t="s">
        <v>352</v>
      </c>
      <c r="G876">
        <v>61.16</v>
      </c>
      <c r="H876">
        <v>13</v>
      </c>
      <c r="I876">
        <v>13</v>
      </c>
      <c r="J876">
        <v>80</v>
      </c>
      <c r="K876">
        <v>67</v>
      </c>
    </row>
    <row r="877" spans="1:11" x14ac:dyDescent="0.3">
      <c r="A877">
        <v>21.73</v>
      </c>
      <c r="B877" t="s">
        <v>1010</v>
      </c>
      <c r="C877" t="s">
        <v>1033</v>
      </c>
      <c r="D877" t="s">
        <v>90</v>
      </c>
      <c r="E877">
        <v>9</v>
      </c>
      <c r="F877" t="s">
        <v>127</v>
      </c>
      <c r="G877">
        <v>37.36</v>
      </c>
      <c r="H877">
        <v>12</v>
      </c>
      <c r="I877">
        <v>7</v>
      </c>
      <c r="J877">
        <v>104</v>
      </c>
      <c r="K877">
        <v>97</v>
      </c>
    </row>
    <row r="878" spans="1:11" x14ac:dyDescent="0.3">
      <c r="A878">
        <v>20.45</v>
      </c>
      <c r="B878" t="s">
        <v>1010</v>
      </c>
      <c r="C878" t="s">
        <v>1034</v>
      </c>
      <c r="D878" t="s">
        <v>87</v>
      </c>
      <c r="E878">
        <v>8</v>
      </c>
      <c r="F878" t="s">
        <v>138</v>
      </c>
      <c r="G878">
        <v>33.869999999999997</v>
      </c>
      <c r="H878">
        <v>73</v>
      </c>
      <c r="I878">
        <v>48</v>
      </c>
      <c r="J878">
        <v>436</v>
      </c>
      <c r="K878">
        <v>388</v>
      </c>
    </row>
    <row r="879" spans="1:11" x14ac:dyDescent="0.3">
      <c r="A879">
        <v>23.16</v>
      </c>
      <c r="B879" t="s">
        <v>1010</v>
      </c>
      <c r="C879" t="s">
        <v>1035</v>
      </c>
      <c r="D879" t="s">
        <v>130</v>
      </c>
      <c r="E879">
        <v>4</v>
      </c>
      <c r="F879" t="s">
        <v>228</v>
      </c>
      <c r="G879">
        <v>38.65</v>
      </c>
      <c r="H879">
        <v>70</v>
      </c>
      <c r="I879">
        <v>51</v>
      </c>
      <c r="J879">
        <v>385</v>
      </c>
      <c r="K879">
        <v>334</v>
      </c>
    </row>
    <row r="880" spans="1:11" x14ac:dyDescent="0.3">
      <c r="A880">
        <v>13.19</v>
      </c>
      <c r="B880" t="s">
        <v>1010</v>
      </c>
      <c r="C880" t="s">
        <v>1036</v>
      </c>
      <c r="D880" t="s">
        <v>80</v>
      </c>
      <c r="E880">
        <v>7</v>
      </c>
      <c r="F880" t="s">
        <v>106</v>
      </c>
      <c r="G880">
        <v>24.74</v>
      </c>
      <c r="H880">
        <v>80</v>
      </c>
      <c r="I880">
        <v>22</v>
      </c>
      <c r="J880">
        <v>388</v>
      </c>
      <c r="K880">
        <v>366</v>
      </c>
    </row>
    <row r="881" spans="1:11" x14ac:dyDescent="0.3">
      <c r="A881">
        <v>24.53</v>
      </c>
      <c r="B881" t="s">
        <v>1010</v>
      </c>
      <c r="C881" t="s">
        <v>1037</v>
      </c>
      <c r="D881" t="s">
        <v>87</v>
      </c>
      <c r="E881">
        <v>3</v>
      </c>
      <c r="F881" t="s">
        <v>147</v>
      </c>
      <c r="G881">
        <v>46.7</v>
      </c>
      <c r="H881">
        <v>101</v>
      </c>
      <c r="I881">
        <v>73</v>
      </c>
      <c r="J881">
        <v>475</v>
      </c>
      <c r="K881">
        <v>402</v>
      </c>
    </row>
    <row r="882" spans="1:11" x14ac:dyDescent="0.3">
      <c r="A882">
        <v>30.52</v>
      </c>
      <c r="B882" t="s">
        <v>1010</v>
      </c>
      <c r="C882" t="s">
        <v>1038</v>
      </c>
      <c r="D882" t="s">
        <v>93</v>
      </c>
      <c r="E882">
        <v>8</v>
      </c>
      <c r="F882" t="s">
        <v>171</v>
      </c>
      <c r="G882">
        <v>48.37</v>
      </c>
      <c r="H882">
        <v>38</v>
      </c>
      <c r="I882">
        <v>21</v>
      </c>
      <c r="J882">
        <v>158</v>
      </c>
      <c r="K882">
        <v>137</v>
      </c>
    </row>
    <row r="883" spans="1:11" x14ac:dyDescent="0.3">
      <c r="A883">
        <v>18.96</v>
      </c>
      <c r="B883" t="s">
        <v>1010</v>
      </c>
      <c r="C883" t="s">
        <v>1039</v>
      </c>
      <c r="D883" t="s">
        <v>80</v>
      </c>
      <c r="E883">
        <v>4</v>
      </c>
      <c r="F883" t="s">
        <v>160</v>
      </c>
      <c r="G883">
        <v>37.68</v>
      </c>
      <c r="H883">
        <v>74</v>
      </c>
      <c r="I883">
        <v>70</v>
      </c>
      <c r="J883">
        <v>345</v>
      </c>
      <c r="K883">
        <v>275</v>
      </c>
    </row>
    <row r="884" spans="1:11" x14ac:dyDescent="0.3">
      <c r="A884">
        <v>4.26</v>
      </c>
      <c r="B884" t="s">
        <v>1010</v>
      </c>
      <c r="C884" t="s">
        <v>1040</v>
      </c>
      <c r="D884" t="s">
        <v>83</v>
      </c>
      <c r="E884">
        <v>7</v>
      </c>
      <c r="F884" t="s">
        <v>210</v>
      </c>
      <c r="G884">
        <v>8.07</v>
      </c>
      <c r="H884">
        <v>60</v>
      </c>
      <c r="I884">
        <v>41</v>
      </c>
      <c r="J884">
        <v>311</v>
      </c>
      <c r="K884">
        <v>270</v>
      </c>
    </row>
    <row r="885" spans="1:11" x14ac:dyDescent="0.3">
      <c r="A885">
        <v>7.38</v>
      </c>
      <c r="B885" t="s">
        <v>1010</v>
      </c>
      <c r="C885" t="s">
        <v>1041</v>
      </c>
      <c r="D885" t="s">
        <v>83</v>
      </c>
      <c r="E885">
        <v>6</v>
      </c>
      <c r="F885" t="s">
        <v>307</v>
      </c>
      <c r="G885">
        <v>15.01</v>
      </c>
      <c r="H885">
        <v>33</v>
      </c>
      <c r="I885">
        <v>16</v>
      </c>
      <c r="J885">
        <v>219</v>
      </c>
      <c r="K885">
        <v>203</v>
      </c>
    </row>
    <row r="886" spans="1:11" x14ac:dyDescent="0.3">
      <c r="A886">
        <v>45.76</v>
      </c>
      <c r="B886" t="s">
        <v>1010</v>
      </c>
      <c r="C886" t="s">
        <v>1042</v>
      </c>
      <c r="D886" t="s">
        <v>90</v>
      </c>
      <c r="E886">
        <v>4</v>
      </c>
      <c r="F886" t="s">
        <v>352</v>
      </c>
      <c r="G886">
        <v>69.53</v>
      </c>
      <c r="H886">
        <v>85</v>
      </c>
      <c r="I886">
        <v>51</v>
      </c>
      <c r="J886">
        <v>343</v>
      </c>
      <c r="K886">
        <v>292</v>
      </c>
    </row>
    <row r="887" spans="1:11" x14ac:dyDescent="0.3">
      <c r="A887">
        <v>23.41</v>
      </c>
      <c r="B887" t="s">
        <v>1010</v>
      </c>
      <c r="C887" t="s">
        <v>1043</v>
      </c>
      <c r="D887" t="s">
        <v>93</v>
      </c>
      <c r="E887">
        <v>9</v>
      </c>
      <c r="F887" t="s">
        <v>424</v>
      </c>
      <c r="G887">
        <v>50.61</v>
      </c>
      <c r="H887">
        <v>18</v>
      </c>
      <c r="I887">
        <v>15</v>
      </c>
      <c r="J887">
        <v>114</v>
      </c>
      <c r="K887">
        <v>99</v>
      </c>
    </row>
    <row r="888" spans="1:11" x14ac:dyDescent="0.3">
      <c r="A888">
        <v>12.14</v>
      </c>
      <c r="B888" t="s">
        <v>1010</v>
      </c>
      <c r="C888" t="s">
        <v>1044</v>
      </c>
      <c r="D888" t="s">
        <v>130</v>
      </c>
      <c r="E888">
        <v>4</v>
      </c>
      <c r="F888" t="s">
        <v>154</v>
      </c>
      <c r="G888">
        <v>21.42</v>
      </c>
      <c r="H888">
        <v>53</v>
      </c>
      <c r="I888">
        <v>14</v>
      </c>
      <c r="J888">
        <v>241</v>
      </c>
      <c r="K888">
        <v>227</v>
      </c>
    </row>
    <row r="889" spans="1:11" x14ac:dyDescent="0.3">
      <c r="A889">
        <v>2.42</v>
      </c>
      <c r="B889" t="s">
        <v>1010</v>
      </c>
      <c r="C889" t="s">
        <v>1045</v>
      </c>
      <c r="D889" t="s">
        <v>80</v>
      </c>
      <c r="E889">
        <v>3</v>
      </c>
      <c r="F889" t="s">
        <v>104</v>
      </c>
      <c r="G889">
        <v>3.59</v>
      </c>
      <c r="H889">
        <v>39</v>
      </c>
      <c r="I889">
        <v>38</v>
      </c>
      <c r="J889">
        <v>224</v>
      </c>
      <c r="K889">
        <v>186</v>
      </c>
    </row>
    <row r="890" spans="1:11" x14ac:dyDescent="0.3">
      <c r="A890">
        <v>9.0500000000000007</v>
      </c>
      <c r="B890" t="s">
        <v>1010</v>
      </c>
      <c r="C890" t="s">
        <v>1046</v>
      </c>
      <c r="D890" t="s">
        <v>93</v>
      </c>
      <c r="E890">
        <v>8</v>
      </c>
      <c r="F890" t="s">
        <v>424</v>
      </c>
      <c r="G890">
        <v>19.350000000000001</v>
      </c>
      <c r="H890">
        <v>24</v>
      </c>
      <c r="I890">
        <v>13</v>
      </c>
      <c r="J890">
        <v>147</v>
      </c>
      <c r="K890">
        <v>134</v>
      </c>
    </row>
    <row r="891" spans="1:11" x14ac:dyDescent="0.3">
      <c r="A891">
        <v>11.9</v>
      </c>
      <c r="B891" t="s">
        <v>1010</v>
      </c>
      <c r="C891" t="s">
        <v>1047</v>
      </c>
      <c r="D891" t="s">
        <v>72</v>
      </c>
      <c r="E891">
        <v>3</v>
      </c>
      <c r="F891" t="s">
        <v>463</v>
      </c>
      <c r="G891">
        <v>21.26</v>
      </c>
      <c r="H891">
        <v>97</v>
      </c>
      <c r="I891">
        <v>29</v>
      </c>
      <c r="J891">
        <v>441</v>
      </c>
      <c r="K891">
        <v>412</v>
      </c>
    </row>
    <row r="892" spans="1:11" x14ac:dyDescent="0.3">
      <c r="A892">
        <v>15.74</v>
      </c>
      <c r="B892" t="s">
        <v>1010</v>
      </c>
      <c r="C892" t="s">
        <v>1048</v>
      </c>
      <c r="D892" t="s">
        <v>87</v>
      </c>
      <c r="E892">
        <v>3</v>
      </c>
      <c r="F892" t="s">
        <v>112</v>
      </c>
      <c r="G892">
        <v>27.96</v>
      </c>
      <c r="H892">
        <v>40</v>
      </c>
      <c r="I892">
        <v>14</v>
      </c>
      <c r="J892">
        <v>171</v>
      </c>
      <c r="K892">
        <v>157</v>
      </c>
    </row>
    <row r="893" spans="1:11" x14ac:dyDescent="0.3">
      <c r="A893">
        <v>21.22</v>
      </c>
      <c r="B893" t="s">
        <v>1010</v>
      </c>
      <c r="C893" t="s">
        <v>1049</v>
      </c>
      <c r="D893" t="s">
        <v>72</v>
      </c>
      <c r="E893">
        <v>7</v>
      </c>
      <c r="F893" t="s">
        <v>463</v>
      </c>
      <c r="G893">
        <v>34.94</v>
      </c>
      <c r="H893">
        <v>27</v>
      </c>
      <c r="I893">
        <v>18</v>
      </c>
      <c r="J893">
        <v>136</v>
      </c>
      <c r="K893">
        <v>118</v>
      </c>
    </row>
    <row r="894" spans="1:11" x14ac:dyDescent="0.3">
      <c r="A894">
        <v>4.68</v>
      </c>
      <c r="B894" t="s">
        <v>1010</v>
      </c>
      <c r="C894" t="s">
        <v>1050</v>
      </c>
      <c r="D894" t="s">
        <v>87</v>
      </c>
      <c r="E894">
        <v>4</v>
      </c>
      <c r="F894" t="s">
        <v>138</v>
      </c>
      <c r="G894">
        <v>8.75</v>
      </c>
      <c r="H894">
        <v>60</v>
      </c>
      <c r="I894">
        <v>44</v>
      </c>
      <c r="J894">
        <v>442</v>
      </c>
      <c r="K894">
        <v>398</v>
      </c>
    </row>
    <row r="895" spans="1:11" x14ac:dyDescent="0.3">
      <c r="A895">
        <v>20.88</v>
      </c>
      <c r="B895" t="s">
        <v>1010</v>
      </c>
      <c r="C895" t="s">
        <v>1051</v>
      </c>
      <c r="D895" t="s">
        <v>130</v>
      </c>
      <c r="E895">
        <v>2</v>
      </c>
      <c r="F895" t="s">
        <v>173</v>
      </c>
      <c r="G895">
        <v>39.93</v>
      </c>
      <c r="H895">
        <v>49</v>
      </c>
      <c r="I895">
        <v>49</v>
      </c>
      <c r="J895">
        <v>316</v>
      </c>
      <c r="K895">
        <v>267</v>
      </c>
    </row>
    <row r="896" spans="1:11" x14ac:dyDescent="0.3">
      <c r="A896">
        <v>1.62</v>
      </c>
      <c r="B896" t="s">
        <v>1010</v>
      </c>
      <c r="C896" t="s">
        <v>1052</v>
      </c>
      <c r="D896" t="s">
        <v>80</v>
      </c>
      <c r="E896">
        <v>5</v>
      </c>
      <c r="F896" t="s">
        <v>160</v>
      </c>
      <c r="G896">
        <v>3.35</v>
      </c>
      <c r="H896">
        <v>96</v>
      </c>
      <c r="I896">
        <v>31</v>
      </c>
      <c r="J896">
        <v>393</v>
      </c>
      <c r="K896">
        <v>362</v>
      </c>
    </row>
    <row r="897" spans="1:11" x14ac:dyDescent="0.3">
      <c r="A897">
        <v>2.65</v>
      </c>
      <c r="B897" t="s">
        <v>1010</v>
      </c>
      <c r="C897" t="s">
        <v>1053</v>
      </c>
      <c r="D897" t="s">
        <v>83</v>
      </c>
      <c r="E897">
        <v>7</v>
      </c>
      <c r="F897" t="s">
        <v>305</v>
      </c>
      <c r="G897">
        <v>5.1100000000000003</v>
      </c>
      <c r="H897">
        <v>58</v>
      </c>
      <c r="I897">
        <v>41</v>
      </c>
      <c r="J897">
        <v>464</v>
      </c>
      <c r="K897">
        <v>423</v>
      </c>
    </row>
    <row r="898" spans="1:11" x14ac:dyDescent="0.3">
      <c r="A898">
        <v>14.44</v>
      </c>
      <c r="B898" t="s">
        <v>1010</v>
      </c>
      <c r="C898" t="s">
        <v>1054</v>
      </c>
      <c r="D898" t="s">
        <v>130</v>
      </c>
      <c r="E898">
        <v>10</v>
      </c>
      <c r="F898" t="s">
        <v>154</v>
      </c>
      <c r="G898">
        <v>20.67</v>
      </c>
      <c r="H898">
        <v>93</v>
      </c>
      <c r="I898">
        <v>58</v>
      </c>
      <c r="J898">
        <v>409</v>
      </c>
      <c r="K898">
        <v>351</v>
      </c>
    </row>
    <row r="899" spans="1:11" x14ac:dyDescent="0.3">
      <c r="A899">
        <v>16.510000000000002</v>
      </c>
      <c r="B899" t="s">
        <v>1010</v>
      </c>
      <c r="C899" t="s">
        <v>1055</v>
      </c>
      <c r="D899" t="s">
        <v>90</v>
      </c>
      <c r="E899">
        <v>8</v>
      </c>
      <c r="F899" t="s">
        <v>149</v>
      </c>
      <c r="G899">
        <v>30.78</v>
      </c>
      <c r="H899">
        <v>27</v>
      </c>
      <c r="I899">
        <v>13</v>
      </c>
      <c r="J899">
        <v>148</v>
      </c>
      <c r="K899">
        <v>135</v>
      </c>
    </row>
    <row r="900" spans="1:11" x14ac:dyDescent="0.3">
      <c r="A900">
        <v>19.16</v>
      </c>
      <c r="B900" t="s">
        <v>1010</v>
      </c>
      <c r="C900" t="s">
        <v>1056</v>
      </c>
      <c r="D900" t="s">
        <v>90</v>
      </c>
      <c r="E900">
        <v>5</v>
      </c>
      <c r="F900" t="s">
        <v>219</v>
      </c>
      <c r="G900">
        <v>30.17</v>
      </c>
      <c r="H900">
        <v>51</v>
      </c>
      <c r="I900">
        <v>32</v>
      </c>
      <c r="J900">
        <v>359</v>
      </c>
      <c r="K900">
        <v>327</v>
      </c>
    </row>
    <row r="901" spans="1:11" x14ac:dyDescent="0.3">
      <c r="A901">
        <v>10.38</v>
      </c>
      <c r="B901" t="s">
        <v>1010</v>
      </c>
      <c r="C901" t="s">
        <v>1057</v>
      </c>
      <c r="D901" t="s">
        <v>80</v>
      </c>
      <c r="E901">
        <v>6</v>
      </c>
      <c r="F901" t="s">
        <v>104</v>
      </c>
      <c r="G901">
        <v>21.98</v>
      </c>
      <c r="H901">
        <v>88</v>
      </c>
      <c r="I901">
        <v>55</v>
      </c>
      <c r="J901">
        <v>394</v>
      </c>
      <c r="K901">
        <v>339</v>
      </c>
    </row>
    <row r="902" spans="1:11" x14ac:dyDescent="0.3">
      <c r="A902">
        <v>2.87</v>
      </c>
      <c r="B902" t="s">
        <v>1010</v>
      </c>
      <c r="C902" t="s">
        <v>1058</v>
      </c>
      <c r="D902" t="s">
        <v>80</v>
      </c>
      <c r="E902">
        <v>3</v>
      </c>
      <c r="F902" t="s">
        <v>186</v>
      </c>
      <c r="G902">
        <v>4.8099999999999996</v>
      </c>
      <c r="H902">
        <v>17</v>
      </c>
      <c r="I902">
        <v>17</v>
      </c>
      <c r="J902">
        <v>77</v>
      </c>
      <c r="K902">
        <v>60</v>
      </c>
    </row>
    <row r="903" spans="1:11" x14ac:dyDescent="0.3">
      <c r="A903">
        <v>9.77</v>
      </c>
      <c r="B903" t="s">
        <v>1010</v>
      </c>
      <c r="C903" t="s">
        <v>1059</v>
      </c>
      <c r="D903" t="s">
        <v>83</v>
      </c>
      <c r="E903">
        <v>10</v>
      </c>
      <c r="F903" t="s">
        <v>332</v>
      </c>
      <c r="G903">
        <v>13.09</v>
      </c>
      <c r="H903">
        <v>78</v>
      </c>
      <c r="I903">
        <v>68</v>
      </c>
      <c r="J903">
        <v>480</v>
      </c>
      <c r="K903">
        <v>412</v>
      </c>
    </row>
    <row r="904" spans="1:11" x14ac:dyDescent="0.3">
      <c r="A904">
        <v>52.97</v>
      </c>
      <c r="B904" t="s">
        <v>1010</v>
      </c>
      <c r="C904" t="s">
        <v>1060</v>
      </c>
      <c r="D904" t="s">
        <v>90</v>
      </c>
      <c r="E904">
        <v>9</v>
      </c>
      <c r="F904" t="s">
        <v>177</v>
      </c>
      <c r="G904">
        <v>90.15</v>
      </c>
      <c r="H904">
        <v>71</v>
      </c>
      <c r="I904">
        <v>65</v>
      </c>
      <c r="J904">
        <v>301</v>
      </c>
      <c r="K904">
        <v>236</v>
      </c>
    </row>
    <row r="905" spans="1:11" x14ac:dyDescent="0.3">
      <c r="A905">
        <v>24.93</v>
      </c>
      <c r="B905" t="s">
        <v>1010</v>
      </c>
      <c r="C905" t="s">
        <v>1061</v>
      </c>
      <c r="D905" t="s">
        <v>72</v>
      </c>
      <c r="E905">
        <v>3</v>
      </c>
      <c r="F905" t="s">
        <v>118</v>
      </c>
      <c r="G905">
        <v>42.84</v>
      </c>
      <c r="H905">
        <v>30</v>
      </c>
      <c r="I905">
        <v>19</v>
      </c>
      <c r="J905">
        <v>130</v>
      </c>
      <c r="K905">
        <v>111</v>
      </c>
    </row>
    <row r="906" spans="1:11" x14ac:dyDescent="0.3">
      <c r="A906">
        <v>56.25</v>
      </c>
      <c r="B906" t="s">
        <v>1010</v>
      </c>
      <c r="C906" t="s">
        <v>1062</v>
      </c>
      <c r="D906" t="s">
        <v>90</v>
      </c>
      <c r="E906">
        <v>1</v>
      </c>
      <c r="F906" t="s">
        <v>177</v>
      </c>
      <c r="G906">
        <v>82.79</v>
      </c>
      <c r="H906">
        <v>28</v>
      </c>
      <c r="I906">
        <v>12</v>
      </c>
      <c r="J906">
        <v>141</v>
      </c>
      <c r="K906">
        <v>129</v>
      </c>
    </row>
    <row r="907" spans="1:11" x14ac:dyDescent="0.3">
      <c r="A907">
        <v>3.76</v>
      </c>
      <c r="B907" t="s">
        <v>1010</v>
      </c>
      <c r="C907" t="s">
        <v>1063</v>
      </c>
      <c r="D907" t="s">
        <v>77</v>
      </c>
      <c r="E907">
        <v>4</v>
      </c>
      <c r="F907" t="s">
        <v>78</v>
      </c>
      <c r="G907">
        <v>4.97</v>
      </c>
      <c r="H907">
        <v>12</v>
      </c>
      <c r="I907">
        <v>7</v>
      </c>
      <c r="J907">
        <v>108</v>
      </c>
      <c r="K907">
        <v>101</v>
      </c>
    </row>
    <row r="908" spans="1:11" x14ac:dyDescent="0.3">
      <c r="A908">
        <v>33.5</v>
      </c>
      <c r="B908" t="s">
        <v>1010</v>
      </c>
      <c r="C908" t="s">
        <v>1064</v>
      </c>
      <c r="D908" t="s">
        <v>93</v>
      </c>
      <c r="E908">
        <v>9</v>
      </c>
      <c r="F908" t="s">
        <v>222</v>
      </c>
      <c r="G908">
        <v>66.38</v>
      </c>
      <c r="H908">
        <v>63</v>
      </c>
      <c r="I908">
        <v>29</v>
      </c>
      <c r="J908">
        <v>411</v>
      </c>
      <c r="K908">
        <v>382</v>
      </c>
    </row>
    <row r="909" spans="1:11" x14ac:dyDescent="0.3">
      <c r="A909">
        <v>2.09</v>
      </c>
      <c r="B909" t="s">
        <v>1010</v>
      </c>
      <c r="C909" t="s">
        <v>1065</v>
      </c>
      <c r="D909" t="s">
        <v>87</v>
      </c>
      <c r="E909">
        <v>9</v>
      </c>
      <c r="F909" t="s">
        <v>110</v>
      </c>
      <c r="G909">
        <v>3.71</v>
      </c>
      <c r="H909">
        <v>17</v>
      </c>
      <c r="I909">
        <v>12</v>
      </c>
      <c r="J909">
        <v>112</v>
      </c>
      <c r="K909">
        <v>100</v>
      </c>
    </row>
    <row r="910" spans="1:11" x14ac:dyDescent="0.3">
      <c r="A910">
        <v>13.89</v>
      </c>
      <c r="B910" t="s">
        <v>1010</v>
      </c>
      <c r="C910" t="s">
        <v>1066</v>
      </c>
      <c r="D910" t="s">
        <v>80</v>
      </c>
      <c r="E910">
        <v>2</v>
      </c>
      <c r="F910" t="s">
        <v>186</v>
      </c>
      <c r="G910">
        <v>27.32</v>
      </c>
      <c r="H910">
        <v>16</v>
      </c>
      <c r="I910">
        <v>8</v>
      </c>
      <c r="J910">
        <v>125</v>
      </c>
      <c r="K910">
        <v>117</v>
      </c>
    </row>
    <row r="911" spans="1:11" x14ac:dyDescent="0.3">
      <c r="A911">
        <v>14.74</v>
      </c>
      <c r="B911" t="s">
        <v>1010</v>
      </c>
      <c r="C911" t="s">
        <v>1067</v>
      </c>
      <c r="D911" t="s">
        <v>83</v>
      </c>
      <c r="E911">
        <v>4</v>
      </c>
      <c r="F911" t="s">
        <v>100</v>
      </c>
      <c r="G911">
        <v>32.35</v>
      </c>
      <c r="H911">
        <v>41</v>
      </c>
      <c r="I911">
        <v>21</v>
      </c>
      <c r="J911">
        <v>259</v>
      </c>
      <c r="K911">
        <v>238</v>
      </c>
    </row>
    <row r="912" spans="1:11" x14ac:dyDescent="0.3">
      <c r="A912">
        <v>10.79</v>
      </c>
      <c r="B912" t="s">
        <v>1010</v>
      </c>
      <c r="C912" t="s">
        <v>1068</v>
      </c>
      <c r="D912" t="s">
        <v>83</v>
      </c>
      <c r="E912">
        <v>7</v>
      </c>
      <c r="F912" t="s">
        <v>305</v>
      </c>
      <c r="G912">
        <v>21.89</v>
      </c>
      <c r="H912">
        <v>30</v>
      </c>
      <c r="I912">
        <v>21</v>
      </c>
      <c r="J912">
        <v>123</v>
      </c>
      <c r="K912">
        <v>102</v>
      </c>
    </row>
    <row r="913" spans="1:11" x14ac:dyDescent="0.3">
      <c r="A913">
        <v>10.43</v>
      </c>
      <c r="B913" t="s">
        <v>1010</v>
      </c>
      <c r="C913" t="s">
        <v>1069</v>
      </c>
      <c r="D913" t="s">
        <v>77</v>
      </c>
      <c r="E913">
        <v>2</v>
      </c>
      <c r="F913" t="s">
        <v>446</v>
      </c>
      <c r="G913">
        <v>18.48</v>
      </c>
      <c r="H913">
        <v>81</v>
      </c>
      <c r="I913">
        <v>68</v>
      </c>
      <c r="J913">
        <v>398</v>
      </c>
      <c r="K913">
        <v>330</v>
      </c>
    </row>
    <row r="914" spans="1:11" x14ac:dyDescent="0.3">
      <c r="A914">
        <v>7.7</v>
      </c>
      <c r="B914" t="s">
        <v>1010</v>
      </c>
      <c r="C914" t="s">
        <v>1070</v>
      </c>
      <c r="D914" t="s">
        <v>87</v>
      </c>
      <c r="E914">
        <v>6</v>
      </c>
      <c r="F914" t="s">
        <v>147</v>
      </c>
      <c r="G914">
        <v>11.57</v>
      </c>
      <c r="H914">
        <v>14</v>
      </c>
      <c r="I914">
        <v>4</v>
      </c>
      <c r="J914">
        <v>61</v>
      </c>
      <c r="K914">
        <v>57</v>
      </c>
    </row>
    <row r="915" spans="1:11" x14ac:dyDescent="0.3">
      <c r="A915">
        <v>11.3</v>
      </c>
      <c r="B915" t="s">
        <v>1010</v>
      </c>
      <c r="C915" t="s">
        <v>1071</v>
      </c>
      <c r="D915" t="s">
        <v>80</v>
      </c>
      <c r="E915">
        <v>4</v>
      </c>
      <c r="F915" t="s">
        <v>160</v>
      </c>
      <c r="G915">
        <v>17.07</v>
      </c>
      <c r="H915">
        <v>7</v>
      </c>
      <c r="I915">
        <v>5</v>
      </c>
      <c r="J915">
        <v>76</v>
      </c>
      <c r="K915">
        <v>71</v>
      </c>
    </row>
    <row r="916" spans="1:11" x14ac:dyDescent="0.3">
      <c r="A916">
        <v>13.57</v>
      </c>
      <c r="B916" t="s">
        <v>1010</v>
      </c>
      <c r="C916" t="s">
        <v>1072</v>
      </c>
      <c r="D916" t="s">
        <v>90</v>
      </c>
      <c r="E916">
        <v>2</v>
      </c>
      <c r="F916" t="s">
        <v>91</v>
      </c>
      <c r="G916">
        <v>24.61</v>
      </c>
      <c r="H916">
        <v>52</v>
      </c>
      <c r="I916">
        <v>38</v>
      </c>
      <c r="J916">
        <v>320</v>
      </c>
      <c r="K916">
        <v>282</v>
      </c>
    </row>
    <row r="917" spans="1:11" x14ac:dyDescent="0.3">
      <c r="A917">
        <v>29.74</v>
      </c>
      <c r="B917" t="s">
        <v>1010</v>
      </c>
      <c r="C917" t="s">
        <v>1073</v>
      </c>
      <c r="D917" t="s">
        <v>93</v>
      </c>
      <c r="E917">
        <v>7</v>
      </c>
      <c r="F917" t="s">
        <v>108</v>
      </c>
      <c r="G917">
        <v>48.44</v>
      </c>
      <c r="H917">
        <v>34</v>
      </c>
      <c r="I917">
        <v>27</v>
      </c>
      <c r="J917">
        <v>194</v>
      </c>
      <c r="K917">
        <v>167</v>
      </c>
    </row>
    <row r="918" spans="1:11" x14ac:dyDescent="0.3">
      <c r="A918">
        <v>23.78</v>
      </c>
      <c r="B918" t="s">
        <v>1010</v>
      </c>
      <c r="C918" t="s">
        <v>1074</v>
      </c>
      <c r="D918" t="s">
        <v>87</v>
      </c>
      <c r="E918">
        <v>9</v>
      </c>
      <c r="F918" t="s">
        <v>269</v>
      </c>
      <c r="G918">
        <v>33.119999999999997</v>
      </c>
      <c r="H918">
        <v>46</v>
      </c>
      <c r="I918">
        <v>19</v>
      </c>
      <c r="J918">
        <v>296</v>
      </c>
      <c r="K918">
        <v>277</v>
      </c>
    </row>
    <row r="919" spans="1:11" x14ac:dyDescent="0.3">
      <c r="A919">
        <v>16.02</v>
      </c>
      <c r="B919" t="s">
        <v>1010</v>
      </c>
      <c r="C919" t="s">
        <v>1075</v>
      </c>
      <c r="D919" t="s">
        <v>80</v>
      </c>
      <c r="E919">
        <v>7</v>
      </c>
      <c r="F919" t="s">
        <v>114</v>
      </c>
      <c r="G919">
        <v>32.049999999999997</v>
      </c>
      <c r="H919">
        <v>11</v>
      </c>
      <c r="I919">
        <v>5</v>
      </c>
      <c r="J919">
        <v>88</v>
      </c>
      <c r="K919">
        <v>83</v>
      </c>
    </row>
    <row r="920" spans="1:11" x14ac:dyDescent="0.3">
      <c r="A920">
        <v>24.82</v>
      </c>
      <c r="B920" t="s">
        <v>1010</v>
      </c>
      <c r="C920" t="s">
        <v>1076</v>
      </c>
      <c r="D920" t="s">
        <v>87</v>
      </c>
      <c r="E920">
        <v>7</v>
      </c>
      <c r="F920" t="s">
        <v>88</v>
      </c>
      <c r="G920">
        <v>49.11</v>
      </c>
      <c r="H920">
        <v>12</v>
      </c>
      <c r="I920">
        <v>11</v>
      </c>
      <c r="J920">
        <v>91</v>
      </c>
      <c r="K920">
        <v>80</v>
      </c>
    </row>
    <row r="921" spans="1:11" x14ac:dyDescent="0.3">
      <c r="A921">
        <v>12.43</v>
      </c>
      <c r="B921" t="s">
        <v>1010</v>
      </c>
      <c r="C921" t="s">
        <v>1077</v>
      </c>
      <c r="D921" t="s">
        <v>80</v>
      </c>
      <c r="E921">
        <v>2</v>
      </c>
      <c r="F921" t="s">
        <v>160</v>
      </c>
      <c r="G921">
        <v>27.02</v>
      </c>
      <c r="H921">
        <v>65</v>
      </c>
      <c r="I921">
        <v>42</v>
      </c>
      <c r="J921">
        <v>308</v>
      </c>
      <c r="K921">
        <v>266</v>
      </c>
    </row>
    <row r="922" spans="1:11" x14ac:dyDescent="0.3">
      <c r="A922">
        <v>46.68</v>
      </c>
      <c r="B922" t="s">
        <v>1010</v>
      </c>
      <c r="C922" t="s">
        <v>1078</v>
      </c>
      <c r="D922" t="s">
        <v>90</v>
      </c>
      <c r="E922">
        <v>7</v>
      </c>
      <c r="F922" t="s">
        <v>91</v>
      </c>
      <c r="G922">
        <v>100.02</v>
      </c>
      <c r="H922">
        <v>58</v>
      </c>
      <c r="I922">
        <v>35</v>
      </c>
      <c r="J922">
        <v>252</v>
      </c>
      <c r="K922">
        <v>217</v>
      </c>
    </row>
    <row r="923" spans="1:11" x14ac:dyDescent="0.3">
      <c r="A923">
        <v>15.26</v>
      </c>
      <c r="B923" t="s">
        <v>1010</v>
      </c>
      <c r="C923" t="s">
        <v>1079</v>
      </c>
      <c r="D923" t="s">
        <v>72</v>
      </c>
      <c r="E923">
        <v>7</v>
      </c>
      <c r="F923" t="s">
        <v>168</v>
      </c>
      <c r="G923">
        <v>27.56</v>
      </c>
      <c r="H923">
        <v>39</v>
      </c>
      <c r="I923">
        <v>33</v>
      </c>
      <c r="J923">
        <v>377</v>
      </c>
      <c r="K923">
        <v>344</v>
      </c>
    </row>
    <row r="924" spans="1:11" x14ac:dyDescent="0.3">
      <c r="A924">
        <v>19.260000000000002</v>
      </c>
      <c r="B924" t="s">
        <v>1010</v>
      </c>
      <c r="C924" t="s">
        <v>1080</v>
      </c>
      <c r="D924" t="s">
        <v>87</v>
      </c>
      <c r="E924">
        <v>1</v>
      </c>
      <c r="F924" t="s">
        <v>337</v>
      </c>
      <c r="G924">
        <v>36.1</v>
      </c>
      <c r="H924">
        <v>99</v>
      </c>
      <c r="I924">
        <v>78</v>
      </c>
      <c r="J924">
        <v>494</v>
      </c>
      <c r="K924">
        <v>416</v>
      </c>
    </row>
    <row r="925" spans="1:11" x14ac:dyDescent="0.3">
      <c r="A925">
        <v>5.2</v>
      </c>
      <c r="B925" t="s">
        <v>1010</v>
      </c>
      <c r="C925" t="s">
        <v>1081</v>
      </c>
      <c r="D925" t="s">
        <v>80</v>
      </c>
      <c r="E925">
        <v>6</v>
      </c>
      <c r="F925" t="s">
        <v>356</v>
      </c>
      <c r="G925">
        <v>9.98</v>
      </c>
      <c r="H925">
        <v>48</v>
      </c>
      <c r="I925">
        <v>18</v>
      </c>
      <c r="J925">
        <v>261</v>
      </c>
      <c r="K925">
        <v>243</v>
      </c>
    </row>
    <row r="926" spans="1:11" x14ac:dyDescent="0.3">
      <c r="A926">
        <v>8.1199999999999992</v>
      </c>
      <c r="B926" t="s">
        <v>1010</v>
      </c>
      <c r="C926" t="s">
        <v>1082</v>
      </c>
      <c r="D926" t="s">
        <v>77</v>
      </c>
      <c r="E926">
        <v>9</v>
      </c>
      <c r="F926" t="s">
        <v>257</v>
      </c>
      <c r="G926">
        <v>15.92</v>
      </c>
      <c r="H926">
        <v>56</v>
      </c>
      <c r="I926">
        <v>34</v>
      </c>
      <c r="J926">
        <v>490</v>
      </c>
      <c r="K926">
        <v>456</v>
      </c>
    </row>
    <row r="927" spans="1:11" x14ac:dyDescent="0.3">
      <c r="A927">
        <v>40.15</v>
      </c>
      <c r="B927" t="s">
        <v>1010</v>
      </c>
      <c r="C927" t="s">
        <v>1083</v>
      </c>
      <c r="D927" t="s">
        <v>90</v>
      </c>
      <c r="E927">
        <v>5</v>
      </c>
      <c r="F927" t="s">
        <v>219</v>
      </c>
      <c r="G927">
        <v>66.22</v>
      </c>
      <c r="H927">
        <v>72</v>
      </c>
      <c r="I927">
        <v>32</v>
      </c>
      <c r="J927">
        <v>447</v>
      </c>
      <c r="K927">
        <v>415</v>
      </c>
    </row>
    <row r="928" spans="1:11" x14ac:dyDescent="0.3">
      <c r="A928">
        <v>7.57</v>
      </c>
      <c r="B928" t="s">
        <v>1010</v>
      </c>
      <c r="C928" t="s">
        <v>1084</v>
      </c>
      <c r="D928" t="s">
        <v>83</v>
      </c>
      <c r="E928">
        <v>2</v>
      </c>
      <c r="F928" t="s">
        <v>307</v>
      </c>
      <c r="G928">
        <v>10.37</v>
      </c>
      <c r="H928">
        <v>23</v>
      </c>
      <c r="I928">
        <v>10</v>
      </c>
      <c r="J928">
        <v>95</v>
      </c>
      <c r="K928">
        <v>85</v>
      </c>
    </row>
    <row r="929" spans="1:11" x14ac:dyDescent="0.3">
      <c r="A929">
        <v>11.94</v>
      </c>
      <c r="B929" t="s">
        <v>1010</v>
      </c>
      <c r="C929" t="s">
        <v>1085</v>
      </c>
      <c r="D929" t="s">
        <v>72</v>
      </c>
      <c r="E929">
        <v>3</v>
      </c>
      <c r="F929" t="s">
        <v>102</v>
      </c>
      <c r="G929">
        <v>20.54</v>
      </c>
      <c r="H929">
        <v>119</v>
      </c>
      <c r="I929">
        <v>116</v>
      </c>
      <c r="J929">
        <v>480</v>
      </c>
      <c r="K929">
        <v>364</v>
      </c>
    </row>
    <row r="930" spans="1:11" x14ac:dyDescent="0.3">
      <c r="A930">
        <v>7.65</v>
      </c>
      <c r="B930" t="s">
        <v>1010</v>
      </c>
      <c r="C930" t="s">
        <v>1086</v>
      </c>
      <c r="D930" t="s">
        <v>130</v>
      </c>
      <c r="E930">
        <v>4</v>
      </c>
      <c r="F930" t="s">
        <v>154</v>
      </c>
      <c r="G930">
        <v>16.16</v>
      </c>
      <c r="H930">
        <v>56</v>
      </c>
      <c r="I930">
        <v>53</v>
      </c>
      <c r="J930">
        <v>246</v>
      </c>
      <c r="K930">
        <v>193</v>
      </c>
    </row>
    <row r="931" spans="1:11" x14ac:dyDescent="0.3">
      <c r="A931">
        <v>18.649999999999999</v>
      </c>
      <c r="B931" t="s">
        <v>1010</v>
      </c>
      <c r="C931" t="s">
        <v>1087</v>
      </c>
      <c r="D931" t="s">
        <v>87</v>
      </c>
      <c r="E931">
        <v>2</v>
      </c>
      <c r="F931" t="s">
        <v>147</v>
      </c>
      <c r="G931">
        <v>25.09</v>
      </c>
      <c r="H931">
        <v>26</v>
      </c>
      <c r="I931">
        <v>25</v>
      </c>
      <c r="J931">
        <v>247</v>
      </c>
      <c r="K931">
        <v>222</v>
      </c>
    </row>
    <row r="932" spans="1:11" x14ac:dyDescent="0.3">
      <c r="A932">
        <v>5.81</v>
      </c>
      <c r="B932" t="s">
        <v>1010</v>
      </c>
      <c r="C932" t="s">
        <v>1088</v>
      </c>
      <c r="D932" t="s">
        <v>87</v>
      </c>
      <c r="E932">
        <v>4</v>
      </c>
      <c r="F932" t="s">
        <v>337</v>
      </c>
      <c r="G932">
        <v>10.97</v>
      </c>
      <c r="H932">
        <v>39</v>
      </c>
      <c r="I932">
        <v>37</v>
      </c>
      <c r="J932">
        <v>237</v>
      </c>
      <c r="K932">
        <v>200</v>
      </c>
    </row>
    <row r="933" spans="1:11" x14ac:dyDescent="0.3">
      <c r="A933">
        <v>20.399999999999999</v>
      </c>
      <c r="B933" t="s">
        <v>1010</v>
      </c>
      <c r="C933" t="s">
        <v>1089</v>
      </c>
      <c r="D933" t="s">
        <v>87</v>
      </c>
      <c r="E933">
        <v>2</v>
      </c>
      <c r="F933" t="s">
        <v>303</v>
      </c>
      <c r="G933">
        <v>34.29</v>
      </c>
      <c r="H933">
        <v>33</v>
      </c>
      <c r="I933">
        <v>24</v>
      </c>
      <c r="J933">
        <v>280</v>
      </c>
      <c r="K933">
        <v>256</v>
      </c>
    </row>
    <row r="934" spans="1:11" x14ac:dyDescent="0.3">
      <c r="A934">
        <v>65.430000000000007</v>
      </c>
      <c r="B934" t="s">
        <v>1010</v>
      </c>
      <c r="C934" t="s">
        <v>1090</v>
      </c>
      <c r="D934" t="s">
        <v>90</v>
      </c>
      <c r="E934">
        <v>2</v>
      </c>
      <c r="F934" t="s">
        <v>177</v>
      </c>
      <c r="G934">
        <v>111.82</v>
      </c>
      <c r="H934">
        <v>82</v>
      </c>
      <c r="I934">
        <v>34</v>
      </c>
      <c r="J934">
        <v>337</v>
      </c>
      <c r="K934">
        <v>303</v>
      </c>
    </row>
    <row r="935" spans="1:11" x14ac:dyDescent="0.3">
      <c r="A935">
        <v>17.64</v>
      </c>
      <c r="B935" t="s">
        <v>1010</v>
      </c>
      <c r="C935" t="s">
        <v>1091</v>
      </c>
      <c r="D935" t="s">
        <v>72</v>
      </c>
      <c r="E935">
        <v>6</v>
      </c>
      <c r="F935" t="s">
        <v>265</v>
      </c>
      <c r="G935">
        <v>35.299999999999997</v>
      </c>
      <c r="H935">
        <v>12</v>
      </c>
      <c r="I935">
        <v>10</v>
      </c>
      <c r="J935">
        <v>53</v>
      </c>
      <c r="K935">
        <v>43</v>
      </c>
    </row>
    <row r="936" spans="1:11" x14ac:dyDescent="0.3">
      <c r="A936">
        <v>1.04</v>
      </c>
      <c r="B936" t="s">
        <v>1010</v>
      </c>
      <c r="C936" t="s">
        <v>1092</v>
      </c>
      <c r="D936" t="s">
        <v>83</v>
      </c>
      <c r="E936">
        <v>6</v>
      </c>
      <c r="F936" t="s">
        <v>202</v>
      </c>
      <c r="G936">
        <v>1.59</v>
      </c>
      <c r="H936">
        <v>94</v>
      </c>
      <c r="I936">
        <v>60</v>
      </c>
      <c r="J936">
        <v>393</v>
      </c>
      <c r="K936">
        <v>333</v>
      </c>
    </row>
    <row r="937" spans="1:11" x14ac:dyDescent="0.3">
      <c r="A937">
        <v>11.41</v>
      </c>
      <c r="B937" t="s">
        <v>1010</v>
      </c>
      <c r="C937" t="s">
        <v>1093</v>
      </c>
      <c r="D937" t="s">
        <v>72</v>
      </c>
      <c r="E937">
        <v>6</v>
      </c>
      <c r="F937" t="s">
        <v>102</v>
      </c>
      <c r="G937">
        <v>15.84</v>
      </c>
      <c r="H937">
        <v>62</v>
      </c>
      <c r="I937">
        <v>56</v>
      </c>
      <c r="J937">
        <v>478</v>
      </c>
      <c r="K937">
        <v>422</v>
      </c>
    </row>
    <row r="938" spans="1:11" x14ac:dyDescent="0.3">
      <c r="A938">
        <v>14.91</v>
      </c>
      <c r="B938" t="s">
        <v>1010</v>
      </c>
      <c r="C938" t="s">
        <v>1094</v>
      </c>
      <c r="D938" t="s">
        <v>130</v>
      </c>
      <c r="E938">
        <v>1</v>
      </c>
      <c r="F938" t="s">
        <v>154</v>
      </c>
      <c r="G938">
        <v>22.2</v>
      </c>
      <c r="H938">
        <v>39</v>
      </c>
      <c r="I938">
        <v>27</v>
      </c>
      <c r="J938">
        <v>162</v>
      </c>
      <c r="K938">
        <v>135</v>
      </c>
    </row>
    <row r="939" spans="1:11" x14ac:dyDescent="0.3">
      <c r="A939">
        <v>5.69</v>
      </c>
      <c r="B939" t="s">
        <v>1010</v>
      </c>
      <c r="C939" t="s">
        <v>1095</v>
      </c>
      <c r="D939" t="s">
        <v>87</v>
      </c>
      <c r="E939">
        <v>2</v>
      </c>
      <c r="F939" t="s">
        <v>147</v>
      </c>
      <c r="G939">
        <v>9.0500000000000007</v>
      </c>
      <c r="H939">
        <v>44</v>
      </c>
      <c r="I939">
        <v>14</v>
      </c>
      <c r="J939">
        <v>191</v>
      </c>
      <c r="K939">
        <v>177</v>
      </c>
    </row>
    <row r="940" spans="1:11" x14ac:dyDescent="0.3">
      <c r="A940">
        <v>21.58</v>
      </c>
      <c r="B940" t="s">
        <v>1010</v>
      </c>
      <c r="C940" t="s">
        <v>1096</v>
      </c>
      <c r="D940" t="s">
        <v>87</v>
      </c>
      <c r="E940">
        <v>8</v>
      </c>
      <c r="F940" t="s">
        <v>112</v>
      </c>
      <c r="G940">
        <v>42.24</v>
      </c>
      <c r="H940">
        <v>106</v>
      </c>
      <c r="I940">
        <v>62</v>
      </c>
      <c r="J940">
        <v>452</v>
      </c>
      <c r="K940">
        <v>390</v>
      </c>
    </row>
    <row r="941" spans="1:11" x14ac:dyDescent="0.3">
      <c r="A941">
        <v>7.33</v>
      </c>
      <c r="B941" t="s">
        <v>1010</v>
      </c>
      <c r="C941" t="s">
        <v>1097</v>
      </c>
      <c r="D941" t="s">
        <v>80</v>
      </c>
      <c r="E941">
        <v>10</v>
      </c>
      <c r="F941" t="s">
        <v>160</v>
      </c>
      <c r="G941">
        <v>15.9</v>
      </c>
      <c r="H941">
        <v>52</v>
      </c>
      <c r="I941">
        <v>21</v>
      </c>
      <c r="J941">
        <v>260</v>
      </c>
      <c r="K941">
        <v>239</v>
      </c>
    </row>
    <row r="942" spans="1:11" x14ac:dyDescent="0.3">
      <c r="A942">
        <v>46.1</v>
      </c>
      <c r="B942" t="s">
        <v>1010</v>
      </c>
      <c r="C942" t="s">
        <v>1098</v>
      </c>
      <c r="D942" t="s">
        <v>90</v>
      </c>
      <c r="E942">
        <v>8</v>
      </c>
      <c r="F942" t="s">
        <v>177</v>
      </c>
      <c r="G942">
        <v>95.51</v>
      </c>
      <c r="H942">
        <v>22</v>
      </c>
      <c r="I942">
        <v>11</v>
      </c>
      <c r="J942">
        <v>188</v>
      </c>
      <c r="K942">
        <v>177</v>
      </c>
    </row>
    <row r="943" spans="1:11" x14ac:dyDescent="0.3">
      <c r="A943">
        <v>14.25</v>
      </c>
      <c r="B943" t="s">
        <v>1010</v>
      </c>
      <c r="C943" t="s">
        <v>1099</v>
      </c>
      <c r="D943" t="s">
        <v>72</v>
      </c>
      <c r="E943">
        <v>2</v>
      </c>
      <c r="F943" t="s">
        <v>102</v>
      </c>
      <c r="G943">
        <v>30.58</v>
      </c>
      <c r="H943">
        <v>56</v>
      </c>
      <c r="I943">
        <v>46</v>
      </c>
      <c r="J943">
        <v>379</v>
      </c>
      <c r="K943">
        <v>333</v>
      </c>
    </row>
    <row r="944" spans="1:11" x14ac:dyDescent="0.3">
      <c r="A944">
        <v>15.17</v>
      </c>
      <c r="B944" t="s">
        <v>1010</v>
      </c>
      <c r="C944" t="s">
        <v>1100</v>
      </c>
      <c r="D944" t="s">
        <v>80</v>
      </c>
      <c r="E944">
        <v>4</v>
      </c>
      <c r="F944" t="s">
        <v>136</v>
      </c>
      <c r="G944">
        <v>27.2</v>
      </c>
      <c r="H944">
        <v>9</v>
      </c>
      <c r="I944">
        <v>9</v>
      </c>
      <c r="J944">
        <v>52</v>
      </c>
      <c r="K944">
        <v>43</v>
      </c>
    </row>
    <row r="945" spans="1:11" x14ac:dyDescent="0.3">
      <c r="A945">
        <v>14.25</v>
      </c>
      <c r="B945" t="s">
        <v>1010</v>
      </c>
      <c r="C945" t="s">
        <v>1101</v>
      </c>
      <c r="D945" t="s">
        <v>87</v>
      </c>
      <c r="E945">
        <v>10</v>
      </c>
      <c r="F945" t="s">
        <v>147</v>
      </c>
      <c r="G945">
        <v>30.17</v>
      </c>
      <c r="H945">
        <v>82</v>
      </c>
      <c r="I945">
        <v>66</v>
      </c>
      <c r="J945">
        <v>332</v>
      </c>
      <c r="K945">
        <v>266</v>
      </c>
    </row>
    <row r="946" spans="1:11" x14ac:dyDescent="0.3">
      <c r="A946">
        <v>3.97</v>
      </c>
      <c r="B946" t="s">
        <v>1010</v>
      </c>
      <c r="C946" t="s">
        <v>1102</v>
      </c>
      <c r="D946" t="s">
        <v>83</v>
      </c>
      <c r="E946">
        <v>8</v>
      </c>
      <c r="F946" t="s">
        <v>100</v>
      </c>
      <c r="G946">
        <v>8.0500000000000007</v>
      </c>
      <c r="H946">
        <v>46</v>
      </c>
      <c r="I946">
        <v>41</v>
      </c>
      <c r="J946">
        <v>395</v>
      </c>
      <c r="K946">
        <v>354</v>
      </c>
    </row>
    <row r="947" spans="1:11" x14ac:dyDescent="0.3">
      <c r="A947">
        <v>12.57</v>
      </c>
      <c r="B947" t="s">
        <v>1010</v>
      </c>
      <c r="C947" t="s">
        <v>1103</v>
      </c>
      <c r="D947" t="s">
        <v>72</v>
      </c>
      <c r="E947">
        <v>2</v>
      </c>
      <c r="F947" t="s">
        <v>463</v>
      </c>
      <c r="G947">
        <v>17.829999999999998</v>
      </c>
      <c r="H947">
        <v>44</v>
      </c>
      <c r="I947">
        <v>31</v>
      </c>
      <c r="J947">
        <v>198</v>
      </c>
      <c r="K947">
        <v>167</v>
      </c>
    </row>
    <row r="948" spans="1:11" x14ac:dyDescent="0.3">
      <c r="A948">
        <v>16.07</v>
      </c>
      <c r="B948" t="s">
        <v>1010</v>
      </c>
      <c r="C948" t="s">
        <v>1104</v>
      </c>
      <c r="D948" t="s">
        <v>130</v>
      </c>
      <c r="E948">
        <v>10</v>
      </c>
      <c r="F948" t="s">
        <v>248</v>
      </c>
      <c r="G948">
        <v>29.1</v>
      </c>
      <c r="H948">
        <v>33</v>
      </c>
      <c r="I948">
        <v>31</v>
      </c>
      <c r="J948">
        <v>326</v>
      </c>
      <c r="K948">
        <v>295</v>
      </c>
    </row>
    <row r="949" spans="1:11" x14ac:dyDescent="0.3">
      <c r="A949">
        <v>23.1</v>
      </c>
      <c r="B949" t="s">
        <v>1010</v>
      </c>
      <c r="C949" t="s">
        <v>1105</v>
      </c>
      <c r="D949" t="s">
        <v>130</v>
      </c>
      <c r="E949">
        <v>3</v>
      </c>
      <c r="F949" t="s">
        <v>228</v>
      </c>
      <c r="G949">
        <v>35.700000000000003</v>
      </c>
      <c r="H949">
        <v>4</v>
      </c>
      <c r="I949">
        <v>4</v>
      </c>
      <c r="J949">
        <v>41</v>
      </c>
      <c r="K949">
        <v>37</v>
      </c>
    </row>
    <row r="950" spans="1:11" x14ac:dyDescent="0.3">
      <c r="A950">
        <v>15.31</v>
      </c>
      <c r="B950" t="s">
        <v>1010</v>
      </c>
      <c r="C950" t="s">
        <v>1106</v>
      </c>
      <c r="D950" t="s">
        <v>87</v>
      </c>
      <c r="E950">
        <v>10</v>
      </c>
      <c r="F950" t="s">
        <v>337</v>
      </c>
      <c r="G950">
        <v>27.61</v>
      </c>
      <c r="H950">
        <v>12</v>
      </c>
      <c r="I950">
        <v>11</v>
      </c>
      <c r="J950">
        <v>95</v>
      </c>
      <c r="K950">
        <v>84</v>
      </c>
    </row>
    <row r="951" spans="1:11" x14ac:dyDescent="0.3">
      <c r="A951">
        <v>24.93</v>
      </c>
      <c r="B951" t="s">
        <v>1010</v>
      </c>
      <c r="C951" t="s">
        <v>1107</v>
      </c>
      <c r="D951" t="s">
        <v>130</v>
      </c>
      <c r="E951">
        <v>4</v>
      </c>
      <c r="F951" t="s">
        <v>290</v>
      </c>
      <c r="G951">
        <v>35.33</v>
      </c>
      <c r="H951">
        <v>35</v>
      </c>
      <c r="I951">
        <v>9</v>
      </c>
      <c r="J951">
        <v>143</v>
      </c>
      <c r="K951">
        <v>134</v>
      </c>
    </row>
    <row r="952" spans="1:11" x14ac:dyDescent="0.3">
      <c r="A952">
        <v>7.32</v>
      </c>
      <c r="B952" t="s">
        <v>1010</v>
      </c>
      <c r="C952" t="s">
        <v>1108</v>
      </c>
      <c r="D952" t="s">
        <v>77</v>
      </c>
      <c r="E952">
        <v>3</v>
      </c>
      <c r="F952" t="s">
        <v>78</v>
      </c>
      <c r="G952">
        <v>11.21</v>
      </c>
      <c r="H952">
        <v>37</v>
      </c>
      <c r="I952">
        <v>20</v>
      </c>
      <c r="J952">
        <v>348</v>
      </c>
      <c r="K952">
        <v>328</v>
      </c>
    </row>
    <row r="953" spans="1:11" x14ac:dyDescent="0.3">
      <c r="A953">
        <v>65.2</v>
      </c>
      <c r="B953" t="s">
        <v>1010</v>
      </c>
      <c r="C953" t="s">
        <v>1109</v>
      </c>
      <c r="D953" t="s">
        <v>90</v>
      </c>
      <c r="E953">
        <v>10</v>
      </c>
      <c r="F953" t="s">
        <v>149</v>
      </c>
      <c r="G953">
        <v>131.63</v>
      </c>
      <c r="H953">
        <v>76</v>
      </c>
      <c r="I953">
        <v>65</v>
      </c>
      <c r="J953">
        <v>497</v>
      </c>
      <c r="K953">
        <v>432</v>
      </c>
    </row>
    <row r="954" spans="1:11" x14ac:dyDescent="0.3">
      <c r="A954">
        <v>10.029999999999999</v>
      </c>
      <c r="B954" t="s">
        <v>1010</v>
      </c>
      <c r="C954" t="s">
        <v>1110</v>
      </c>
      <c r="D954" t="s">
        <v>80</v>
      </c>
      <c r="E954">
        <v>4</v>
      </c>
      <c r="F954" t="s">
        <v>81</v>
      </c>
      <c r="G954">
        <v>13.42</v>
      </c>
      <c r="H954">
        <v>32</v>
      </c>
      <c r="I954">
        <v>18</v>
      </c>
      <c r="J954">
        <v>172</v>
      </c>
      <c r="K954">
        <v>154</v>
      </c>
    </row>
    <row r="955" spans="1:11" x14ac:dyDescent="0.3">
      <c r="A955">
        <v>19.22</v>
      </c>
      <c r="B955" t="s">
        <v>1010</v>
      </c>
      <c r="C955" t="s">
        <v>1111</v>
      </c>
      <c r="D955" t="s">
        <v>80</v>
      </c>
      <c r="E955">
        <v>6</v>
      </c>
      <c r="F955" t="s">
        <v>114</v>
      </c>
      <c r="G955">
        <v>28.86</v>
      </c>
      <c r="H955">
        <v>74</v>
      </c>
      <c r="I955">
        <v>71</v>
      </c>
      <c r="J955">
        <v>449</v>
      </c>
      <c r="K955">
        <v>378</v>
      </c>
    </row>
    <row r="956" spans="1:11" x14ac:dyDescent="0.3">
      <c r="A956">
        <v>13.24</v>
      </c>
      <c r="B956" t="s">
        <v>1010</v>
      </c>
      <c r="C956" t="s">
        <v>1112</v>
      </c>
      <c r="D956" t="s">
        <v>83</v>
      </c>
      <c r="E956">
        <v>9</v>
      </c>
      <c r="F956" t="s">
        <v>202</v>
      </c>
      <c r="G956">
        <v>24.79</v>
      </c>
      <c r="H956">
        <v>16</v>
      </c>
      <c r="I956">
        <v>12</v>
      </c>
      <c r="J956">
        <v>87</v>
      </c>
      <c r="K956">
        <v>75</v>
      </c>
    </row>
    <row r="957" spans="1:11" x14ac:dyDescent="0.3">
      <c r="A957">
        <v>13.99</v>
      </c>
      <c r="B957" t="s">
        <v>1010</v>
      </c>
      <c r="C957" t="s">
        <v>1113</v>
      </c>
      <c r="D957" t="s">
        <v>93</v>
      </c>
      <c r="E957">
        <v>6</v>
      </c>
      <c r="F957" t="s">
        <v>108</v>
      </c>
      <c r="G957">
        <v>29.16</v>
      </c>
      <c r="H957">
        <v>55</v>
      </c>
      <c r="I957">
        <v>55</v>
      </c>
      <c r="J957">
        <v>387</v>
      </c>
      <c r="K957">
        <v>332</v>
      </c>
    </row>
    <row r="958" spans="1:11" x14ac:dyDescent="0.3">
      <c r="A958">
        <v>26.38</v>
      </c>
      <c r="B958" t="s">
        <v>1010</v>
      </c>
      <c r="C958" t="s">
        <v>1114</v>
      </c>
      <c r="D958" t="s">
        <v>130</v>
      </c>
      <c r="E958">
        <v>7</v>
      </c>
      <c r="F958" t="s">
        <v>248</v>
      </c>
      <c r="G958">
        <v>49.78</v>
      </c>
      <c r="H958">
        <v>8</v>
      </c>
      <c r="I958">
        <v>5</v>
      </c>
      <c r="J958">
        <v>33</v>
      </c>
      <c r="K958">
        <v>28</v>
      </c>
    </row>
    <row r="959" spans="1:11" x14ac:dyDescent="0.3">
      <c r="A959">
        <v>27.91</v>
      </c>
      <c r="B959" t="s">
        <v>1010</v>
      </c>
      <c r="C959" t="s">
        <v>1115</v>
      </c>
      <c r="D959" t="s">
        <v>130</v>
      </c>
      <c r="E959">
        <v>5</v>
      </c>
      <c r="F959" t="s">
        <v>290</v>
      </c>
      <c r="G959">
        <v>49.2</v>
      </c>
      <c r="H959">
        <v>44</v>
      </c>
      <c r="I959">
        <v>15</v>
      </c>
      <c r="J959">
        <v>204</v>
      </c>
      <c r="K959">
        <v>189</v>
      </c>
    </row>
    <row r="960" spans="1:11" x14ac:dyDescent="0.3">
      <c r="A960">
        <v>7.63</v>
      </c>
      <c r="B960" t="s">
        <v>1010</v>
      </c>
      <c r="C960" t="s">
        <v>1116</v>
      </c>
      <c r="D960" t="s">
        <v>80</v>
      </c>
      <c r="E960">
        <v>1</v>
      </c>
      <c r="F960" t="s">
        <v>233</v>
      </c>
      <c r="G960">
        <v>14.27</v>
      </c>
      <c r="H960">
        <v>45</v>
      </c>
      <c r="I960">
        <v>39</v>
      </c>
      <c r="J960">
        <v>315</v>
      </c>
      <c r="K960">
        <v>276</v>
      </c>
    </row>
    <row r="961" spans="1:11" x14ac:dyDescent="0.3">
      <c r="A961">
        <v>7.97</v>
      </c>
      <c r="B961" t="s">
        <v>1010</v>
      </c>
      <c r="C961" t="s">
        <v>1117</v>
      </c>
      <c r="D961" t="s">
        <v>83</v>
      </c>
      <c r="E961">
        <v>5</v>
      </c>
      <c r="F961" t="s">
        <v>202</v>
      </c>
      <c r="G961">
        <v>14.28</v>
      </c>
      <c r="H961">
        <v>82</v>
      </c>
      <c r="I961">
        <v>49</v>
      </c>
      <c r="J961">
        <v>348</v>
      </c>
      <c r="K961">
        <v>299</v>
      </c>
    </row>
    <row r="962" spans="1:11" x14ac:dyDescent="0.3">
      <c r="A962">
        <v>1.38</v>
      </c>
      <c r="B962" t="s">
        <v>1010</v>
      </c>
      <c r="C962" t="s">
        <v>1118</v>
      </c>
      <c r="D962" t="s">
        <v>72</v>
      </c>
      <c r="E962">
        <v>5</v>
      </c>
      <c r="F962" t="s">
        <v>96</v>
      </c>
      <c r="G962">
        <v>2.68</v>
      </c>
      <c r="H962">
        <v>95</v>
      </c>
      <c r="I962">
        <v>26</v>
      </c>
      <c r="J962">
        <v>489</v>
      </c>
      <c r="K962">
        <v>463</v>
      </c>
    </row>
    <row r="963" spans="1:11" x14ac:dyDescent="0.3">
      <c r="A963">
        <v>3.69</v>
      </c>
      <c r="B963" t="s">
        <v>1010</v>
      </c>
      <c r="C963" t="s">
        <v>1119</v>
      </c>
      <c r="D963" t="s">
        <v>87</v>
      </c>
      <c r="E963">
        <v>1</v>
      </c>
      <c r="F963" t="s">
        <v>110</v>
      </c>
      <c r="G963">
        <v>6.65</v>
      </c>
      <c r="H963">
        <v>88</v>
      </c>
      <c r="I963">
        <v>67</v>
      </c>
      <c r="J963">
        <v>367</v>
      </c>
      <c r="K963">
        <v>300</v>
      </c>
    </row>
    <row r="964" spans="1:11" x14ac:dyDescent="0.3">
      <c r="A964">
        <v>9.58</v>
      </c>
      <c r="B964" t="s">
        <v>1010</v>
      </c>
      <c r="C964" t="s">
        <v>1120</v>
      </c>
      <c r="D964" t="s">
        <v>77</v>
      </c>
      <c r="E964">
        <v>9</v>
      </c>
      <c r="F964" t="s">
        <v>152</v>
      </c>
      <c r="G964">
        <v>14.39</v>
      </c>
      <c r="H964">
        <v>57</v>
      </c>
      <c r="I964">
        <v>47</v>
      </c>
      <c r="J964">
        <v>390</v>
      </c>
      <c r="K964">
        <v>343</v>
      </c>
    </row>
    <row r="965" spans="1:11" x14ac:dyDescent="0.3">
      <c r="A965">
        <v>5</v>
      </c>
      <c r="B965" t="s">
        <v>1010</v>
      </c>
      <c r="C965" t="s">
        <v>1121</v>
      </c>
      <c r="D965" t="s">
        <v>87</v>
      </c>
      <c r="E965">
        <v>9</v>
      </c>
      <c r="F965" t="s">
        <v>138</v>
      </c>
      <c r="G965">
        <v>7.55</v>
      </c>
      <c r="H965">
        <v>33</v>
      </c>
      <c r="I965">
        <v>19</v>
      </c>
      <c r="J965">
        <v>329</v>
      </c>
      <c r="K965">
        <v>310</v>
      </c>
    </row>
    <row r="966" spans="1:11" x14ac:dyDescent="0.3">
      <c r="A966">
        <v>24.78</v>
      </c>
      <c r="B966" t="s">
        <v>1010</v>
      </c>
      <c r="C966" t="s">
        <v>1122</v>
      </c>
      <c r="D966" t="s">
        <v>87</v>
      </c>
      <c r="E966">
        <v>5</v>
      </c>
      <c r="F966" t="s">
        <v>147</v>
      </c>
      <c r="G966">
        <v>37.65</v>
      </c>
      <c r="H966">
        <v>86</v>
      </c>
      <c r="I966">
        <v>79</v>
      </c>
      <c r="J966">
        <v>409</v>
      </c>
      <c r="K966">
        <v>330</v>
      </c>
    </row>
    <row r="967" spans="1:11" x14ac:dyDescent="0.3">
      <c r="A967">
        <v>13.91</v>
      </c>
      <c r="B967" t="s">
        <v>1010</v>
      </c>
      <c r="C967" t="s">
        <v>1123</v>
      </c>
      <c r="D967" t="s">
        <v>72</v>
      </c>
      <c r="E967">
        <v>10</v>
      </c>
      <c r="F967" t="s">
        <v>463</v>
      </c>
      <c r="G967">
        <v>19.829999999999998</v>
      </c>
      <c r="H967">
        <v>73</v>
      </c>
      <c r="I967">
        <v>64</v>
      </c>
      <c r="J967">
        <v>306</v>
      </c>
      <c r="K967">
        <v>242</v>
      </c>
    </row>
    <row r="968" spans="1:11" x14ac:dyDescent="0.3">
      <c r="A968">
        <v>33.29</v>
      </c>
      <c r="B968" t="s">
        <v>1010</v>
      </c>
      <c r="C968" t="s">
        <v>1124</v>
      </c>
      <c r="D968" t="s">
        <v>93</v>
      </c>
      <c r="E968">
        <v>1</v>
      </c>
      <c r="F968" t="s">
        <v>156</v>
      </c>
      <c r="G968">
        <v>51.54</v>
      </c>
      <c r="H968">
        <v>69</v>
      </c>
      <c r="I968">
        <v>51</v>
      </c>
      <c r="J968">
        <v>427</v>
      </c>
      <c r="K968">
        <v>376</v>
      </c>
    </row>
    <row r="969" spans="1:11" x14ac:dyDescent="0.3">
      <c r="A969">
        <v>9.68</v>
      </c>
      <c r="B969" t="s">
        <v>1010</v>
      </c>
      <c r="C969" t="s">
        <v>1125</v>
      </c>
      <c r="D969" t="s">
        <v>87</v>
      </c>
      <c r="E969">
        <v>10</v>
      </c>
      <c r="F969" t="s">
        <v>138</v>
      </c>
      <c r="G969">
        <v>20.88</v>
      </c>
      <c r="H969">
        <v>47</v>
      </c>
      <c r="I969">
        <v>39</v>
      </c>
      <c r="J969">
        <v>270</v>
      </c>
      <c r="K969">
        <v>231</v>
      </c>
    </row>
    <row r="970" spans="1:11" x14ac:dyDescent="0.3">
      <c r="A970">
        <v>11.65</v>
      </c>
      <c r="B970" t="s">
        <v>1010</v>
      </c>
      <c r="C970" t="s">
        <v>1126</v>
      </c>
      <c r="D970" t="s">
        <v>80</v>
      </c>
      <c r="E970">
        <v>5</v>
      </c>
      <c r="F970" t="s">
        <v>356</v>
      </c>
      <c r="G970">
        <v>20.25</v>
      </c>
      <c r="H970">
        <v>48</v>
      </c>
      <c r="I970">
        <v>48</v>
      </c>
      <c r="J970">
        <v>411</v>
      </c>
      <c r="K970">
        <v>363</v>
      </c>
    </row>
    <row r="971" spans="1:11" x14ac:dyDescent="0.3">
      <c r="A971">
        <v>24.12</v>
      </c>
      <c r="B971" t="s">
        <v>1010</v>
      </c>
      <c r="C971" t="s">
        <v>1127</v>
      </c>
      <c r="D971" t="s">
        <v>90</v>
      </c>
      <c r="E971">
        <v>4</v>
      </c>
      <c r="F971" t="s">
        <v>149</v>
      </c>
      <c r="G971">
        <v>51.72</v>
      </c>
      <c r="H971">
        <v>51</v>
      </c>
      <c r="I971">
        <v>40</v>
      </c>
      <c r="J971">
        <v>262</v>
      </c>
      <c r="K971">
        <v>222</v>
      </c>
    </row>
    <row r="972" spans="1:11" x14ac:dyDescent="0.3">
      <c r="A972">
        <v>6.68</v>
      </c>
      <c r="B972" t="s">
        <v>1010</v>
      </c>
      <c r="C972" t="s">
        <v>1128</v>
      </c>
      <c r="D972" t="s">
        <v>77</v>
      </c>
      <c r="E972">
        <v>5</v>
      </c>
      <c r="F972" t="s">
        <v>116</v>
      </c>
      <c r="G972">
        <v>11.76</v>
      </c>
      <c r="H972">
        <v>65</v>
      </c>
      <c r="I972">
        <v>49</v>
      </c>
      <c r="J972">
        <v>265</v>
      </c>
      <c r="K972">
        <v>216</v>
      </c>
    </row>
    <row r="973" spans="1:11" x14ac:dyDescent="0.3">
      <c r="A973">
        <v>8.3800000000000008</v>
      </c>
      <c r="B973" t="s">
        <v>1010</v>
      </c>
      <c r="C973" t="s">
        <v>1129</v>
      </c>
      <c r="D973" t="s">
        <v>77</v>
      </c>
      <c r="E973">
        <v>4</v>
      </c>
      <c r="F973" t="s">
        <v>78</v>
      </c>
      <c r="G973">
        <v>15.61</v>
      </c>
      <c r="H973">
        <v>71</v>
      </c>
      <c r="I973">
        <v>32</v>
      </c>
      <c r="J973">
        <v>360</v>
      </c>
      <c r="K973">
        <v>328</v>
      </c>
    </row>
    <row r="974" spans="1:11" x14ac:dyDescent="0.3">
      <c r="A974">
        <v>10.96</v>
      </c>
      <c r="B974" t="s">
        <v>1010</v>
      </c>
      <c r="C974" t="s">
        <v>1130</v>
      </c>
      <c r="D974" t="s">
        <v>87</v>
      </c>
      <c r="E974">
        <v>5</v>
      </c>
      <c r="F974" t="s">
        <v>269</v>
      </c>
      <c r="G974">
        <v>23.12</v>
      </c>
      <c r="H974">
        <v>34</v>
      </c>
      <c r="I974">
        <v>29</v>
      </c>
      <c r="J974">
        <v>295</v>
      </c>
      <c r="K974">
        <v>266</v>
      </c>
    </row>
    <row r="975" spans="1:11" x14ac:dyDescent="0.3">
      <c r="A975">
        <v>9.8699999999999992</v>
      </c>
      <c r="B975" t="s">
        <v>1010</v>
      </c>
      <c r="C975" t="s">
        <v>1131</v>
      </c>
      <c r="D975" t="s">
        <v>77</v>
      </c>
      <c r="E975">
        <v>10</v>
      </c>
      <c r="F975" t="s">
        <v>262</v>
      </c>
      <c r="G975">
        <v>13.86</v>
      </c>
      <c r="H975">
        <v>101</v>
      </c>
      <c r="I975">
        <v>51</v>
      </c>
      <c r="J975">
        <v>466</v>
      </c>
      <c r="K975">
        <v>415</v>
      </c>
    </row>
    <row r="976" spans="1:11" x14ac:dyDescent="0.3">
      <c r="A976">
        <v>29.22</v>
      </c>
      <c r="B976" t="s">
        <v>1010</v>
      </c>
      <c r="C976" t="s">
        <v>1132</v>
      </c>
      <c r="D976" t="s">
        <v>130</v>
      </c>
      <c r="E976">
        <v>2</v>
      </c>
      <c r="F976" t="s">
        <v>154</v>
      </c>
      <c r="G976">
        <v>39.61</v>
      </c>
      <c r="H976">
        <v>73</v>
      </c>
      <c r="I976">
        <v>61</v>
      </c>
      <c r="J976">
        <v>337</v>
      </c>
      <c r="K976">
        <v>276</v>
      </c>
    </row>
    <row r="977" spans="1:11" x14ac:dyDescent="0.3">
      <c r="A977">
        <v>12.36</v>
      </c>
      <c r="B977" t="s">
        <v>1010</v>
      </c>
      <c r="C977" t="s">
        <v>1133</v>
      </c>
      <c r="D977" t="s">
        <v>130</v>
      </c>
      <c r="E977">
        <v>2</v>
      </c>
      <c r="F977" t="s">
        <v>248</v>
      </c>
      <c r="G977">
        <v>17.5</v>
      </c>
      <c r="H977">
        <v>93</v>
      </c>
      <c r="I977">
        <v>36</v>
      </c>
      <c r="J977">
        <v>471</v>
      </c>
      <c r="K977">
        <v>435</v>
      </c>
    </row>
    <row r="978" spans="1:11" x14ac:dyDescent="0.3">
      <c r="A978">
        <v>2.41</v>
      </c>
      <c r="B978" t="s">
        <v>1010</v>
      </c>
      <c r="C978" t="s">
        <v>1134</v>
      </c>
      <c r="D978" t="s">
        <v>130</v>
      </c>
      <c r="E978">
        <v>10</v>
      </c>
      <c r="F978" t="s">
        <v>290</v>
      </c>
      <c r="G978">
        <v>4.51</v>
      </c>
      <c r="H978">
        <v>70</v>
      </c>
      <c r="I978">
        <v>24</v>
      </c>
      <c r="J978">
        <v>391</v>
      </c>
      <c r="K978">
        <v>367</v>
      </c>
    </row>
    <row r="979" spans="1:11" x14ac:dyDescent="0.3">
      <c r="A979">
        <v>17.03</v>
      </c>
      <c r="B979" t="s">
        <v>1010</v>
      </c>
      <c r="C979" t="s">
        <v>1135</v>
      </c>
      <c r="D979" t="s">
        <v>87</v>
      </c>
      <c r="E979">
        <v>4</v>
      </c>
      <c r="F979" t="s">
        <v>147</v>
      </c>
      <c r="G979">
        <v>31.5</v>
      </c>
      <c r="H979">
        <v>55</v>
      </c>
      <c r="I979">
        <v>29</v>
      </c>
      <c r="J979">
        <v>457</v>
      </c>
      <c r="K979">
        <v>428</v>
      </c>
    </row>
    <row r="980" spans="1:11" x14ac:dyDescent="0.3">
      <c r="A980">
        <v>18.2</v>
      </c>
      <c r="B980" t="s">
        <v>1010</v>
      </c>
      <c r="C980" t="s">
        <v>1136</v>
      </c>
      <c r="D980" t="s">
        <v>72</v>
      </c>
      <c r="E980">
        <v>9</v>
      </c>
      <c r="F980" t="s">
        <v>265</v>
      </c>
      <c r="G980">
        <v>28.44</v>
      </c>
      <c r="H980">
        <v>43</v>
      </c>
      <c r="I980">
        <v>16</v>
      </c>
      <c r="J980">
        <v>204</v>
      </c>
      <c r="K980">
        <v>188</v>
      </c>
    </row>
    <row r="981" spans="1:11" x14ac:dyDescent="0.3">
      <c r="A981">
        <v>19.190000000000001</v>
      </c>
      <c r="B981" t="s">
        <v>1010</v>
      </c>
      <c r="C981" t="s">
        <v>1137</v>
      </c>
      <c r="D981" t="s">
        <v>93</v>
      </c>
      <c r="E981">
        <v>6</v>
      </c>
      <c r="F981" t="s">
        <v>171</v>
      </c>
      <c r="G981">
        <v>33.35</v>
      </c>
      <c r="H981">
        <v>40</v>
      </c>
      <c r="I981">
        <v>36</v>
      </c>
      <c r="J981">
        <v>189</v>
      </c>
      <c r="K981">
        <v>153</v>
      </c>
    </row>
    <row r="982" spans="1:11" x14ac:dyDescent="0.3">
      <c r="A982">
        <v>17.670000000000002</v>
      </c>
      <c r="B982" t="s">
        <v>1010</v>
      </c>
      <c r="C982" t="s">
        <v>1138</v>
      </c>
      <c r="D982" t="s">
        <v>87</v>
      </c>
      <c r="E982">
        <v>3</v>
      </c>
      <c r="F982" t="s">
        <v>237</v>
      </c>
      <c r="G982">
        <v>26.49</v>
      </c>
      <c r="H982">
        <v>13</v>
      </c>
      <c r="I982">
        <v>8</v>
      </c>
      <c r="J982">
        <v>70</v>
      </c>
      <c r="K982">
        <v>62</v>
      </c>
    </row>
    <row r="983" spans="1:11" x14ac:dyDescent="0.3">
      <c r="A983">
        <v>16.940000000000001</v>
      </c>
      <c r="B983" t="s">
        <v>1010</v>
      </c>
      <c r="C983" t="s">
        <v>1139</v>
      </c>
      <c r="D983" t="s">
        <v>90</v>
      </c>
      <c r="E983">
        <v>3</v>
      </c>
      <c r="F983" t="s">
        <v>177</v>
      </c>
      <c r="G983">
        <v>23.39</v>
      </c>
      <c r="H983">
        <v>14</v>
      </c>
      <c r="I983">
        <v>7</v>
      </c>
      <c r="J983">
        <v>78</v>
      </c>
      <c r="K983">
        <v>71</v>
      </c>
    </row>
    <row r="984" spans="1:11" x14ac:dyDescent="0.3">
      <c r="A984">
        <v>17.37</v>
      </c>
      <c r="B984" t="s">
        <v>1010</v>
      </c>
      <c r="C984" t="s">
        <v>1140</v>
      </c>
      <c r="D984" t="s">
        <v>80</v>
      </c>
      <c r="E984">
        <v>1</v>
      </c>
      <c r="F984" t="s">
        <v>356</v>
      </c>
      <c r="G984">
        <v>28.83</v>
      </c>
      <c r="H984">
        <v>23</v>
      </c>
      <c r="I984">
        <v>14</v>
      </c>
      <c r="J984">
        <v>165</v>
      </c>
      <c r="K984">
        <v>151</v>
      </c>
    </row>
    <row r="985" spans="1:11" x14ac:dyDescent="0.3">
      <c r="A985">
        <v>1.8</v>
      </c>
      <c r="B985" t="s">
        <v>1010</v>
      </c>
      <c r="C985" t="s">
        <v>1141</v>
      </c>
      <c r="D985" t="s">
        <v>77</v>
      </c>
      <c r="E985">
        <v>9</v>
      </c>
      <c r="F985" t="s">
        <v>446</v>
      </c>
      <c r="G985">
        <v>2.86</v>
      </c>
      <c r="H985">
        <v>49</v>
      </c>
      <c r="I985">
        <v>21</v>
      </c>
      <c r="J985">
        <v>267</v>
      </c>
      <c r="K985">
        <v>246</v>
      </c>
    </row>
    <row r="986" spans="1:11" x14ac:dyDescent="0.3">
      <c r="A986">
        <v>2.52</v>
      </c>
      <c r="B986" t="s">
        <v>1010</v>
      </c>
      <c r="C986" t="s">
        <v>1142</v>
      </c>
      <c r="D986" t="s">
        <v>83</v>
      </c>
      <c r="E986">
        <v>6</v>
      </c>
      <c r="F986" t="s">
        <v>120</v>
      </c>
      <c r="G986">
        <v>4.26</v>
      </c>
      <c r="H986">
        <v>20</v>
      </c>
      <c r="I986">
        <v>18</v>
      </c>
      <c r="J986">
        <v>145</v>
      </c>
      <c r="K986">
        <v>127</v>
      </c>
    </row>
    <row r="987" spans="1:11" x14ac:dyDescent="0.3">
      <c r="A987">
        <v>18.2</v>
      </c>
      <c r="B987" t="s">
        <v>1010</v>
      </c>
      <c r="C987" t="s">
        <v>1143</v>
      </c>
      <c r="D987" t="s">
        <v>87</v>
      </c>
      <c r="E987">
        <v>6</v>
      </c>
      <c r="F987" t="s">
        <v>122</v>
      </c>
      <c r="G987">
        <v>35.28</v>
      </c>
      <c r="H987">
        <v>111</v>
      </c>
      <c r="I987">
        <v>84</v>
      </c>
      <c r="J987">
        <v>460</v>
      </c>
      <c r="K987">
        <v>376</v>
      </c>
    </row>
    <row r="988" spans="1:11" x14ac:dyDescent="0.3">
      <c r="A988">
        <v>8.41</v>
      </c>
      <c r="B988" t="s">
        <v>1010</v>
      </c>
      <c r="C988" t="s">
        <v>1144</v>
      </c>
      <c r="D988" t="s">
        <v>72</v>
      </c>
      <c r="E988">
        <v>1</v>
      </c>
      <c r="F988" t="s">
        <v>239</v>
      </c>
      <c r="G988">
        <v>12.45</v>
      </c>
      <c r="H988">
        <v>58</v>
      </c>
      <c r="I988">
        <v>34</v>
      </c>
      <c r="J988">
        <v>361</v>
      </c>
      <c r="K988">
        <v>327</v>
      </c>
    </row>
    <row r="989" spans="1:11" x14ac:dyDescent="0.3">
      <c r="A989">
        <v>13.4</v>
      </c>
      <c r="B989" t="s">
        <v>1010</v>
      </c>
      <c r="C989" t="s">
        <v>1145</v>
      </c>
      <c r="D989" t="s">
        <v>72</v>
      </c>
      <c r="E989">
        <v>8</v>
      </c>
      <c r="F989" t="s">
        <v>102</v>
      </c>
      <c r="G989">
        <v>28.1</v>
      </c>
      <c r="H989">
        <v>18</v>
      </c>
      <c r="I989">
        <v>14</v>
      </c>
      <c r="J989">
        <v>118</v>
      </c>
      <c r="K989">
        <v>104</v>
      </c>
    </row>
    <row r="990" spans="1:11" x14ac:dyDescent="0.3">
      <c r="A990">
        <v>11.53</v>
      </c>
      <c r="B990" t="s">
        <v>1010</v>
      </c>
      <c r="C990" t="s">
        <v>1146</v>
      </c>
      <c r="D990" t="s">
        <v>80</v>
      </c>
      <c r="E990">
        <v>2</v>
      </c>
      <c r="F990" t="s">
        <v>104</v>
      </c>
      <c r="G990">
        <v>24.14</v>
      </c>
      <c r="H990">
        <v>22</v>
      </c>
      <c r="I990">
        <v>17</v>
      </c>
      <c r="J990">
        <v>95</v>
      </c>
      <c r="K990">
        <v>78</v>
      </c>
    </row>
    <row r="991" spans="1:11" x14ac:dyDescent="0.3">
      <c r="A991">
        <v>23.57</v>
      </c>
      <c r="B991" t="s">
        <v>1010</v>
      </c>
      <c r="C991" t="s">
        <v>1147</v>
      </c>
      <c r="D991" t="s">
        <v>130</v>
      </c>
      <c r="E991">
        <v>7</v>
      </c>
      <c r="F991" t="s">
        <v>299</v>
      </c>
      <c r="G991">
        <v>35.64</v>
      </c>
      <c r="H991">
        <v>42</v>
      </c>
      <c r="I991">
        <v>16</v>
      </c>
      <c r="J991">
        <v>256</v>
      </c>
      <c r="K991">
        <v>240</v>
      </c>
    </row>
    <row r="992" spans="1:11" x14ac:dyDescent="0.3">
      <c r="A992">
        <v>14.66</v>
      </c>
      <c r="B992" t="s">
        <v>1010</v>
      </c>
      <c r="C992" t="s">
        <v>1148</v>
      </c>
      <c r="D992" t="s">
        <v>72</v>
      </c>
      <c r="E992">
        <v>6</v>
      </c>
      <c r="F992" t="s">
        <v>239</v>
      </c>
      <c r="G992">
        <v>25.45</v>
      </c>
      <c r="H992">
        <v>35</v>
      </c>
      <c r="I992">
        <v>16</v>
      </c>
      <c r="J992">
        <v>166</v>
      </c>
      <c r="K992">
        <v>150</v>
      </c>
    </row>
    <row r="993" spans="1:11" x14ac:dyDescent="0.3">
      <c r="A993">
        <v>0.7</v>
      </c>
      <c r="B993" t="s">
        <v>1010</v>
      </c>
      <c r="C993" t="s">
        <v>1149</v>
      </c>
      <c r="D993" t="s">
        <v>83</v>
      </c>
      <c r="E993">
        <v>10</v>
      </c>
      <c r="F993" t="s">
        <v>100</v>
      </c>
      <c r="G993">
        <v>1.27</v>
      </c>
      <c r="H993">
        <v>33</v>
      </c>
      <c r="I993">
        <v>33</v>
      </c>
      <c r="J993">
        <v>156</v>
      </c>
      <c r="K993">
        <v>123</v>
      </c>
    </row>
    <row r="994" spans="1:11" x14ac:dyDescent="0.3">
      <c r="A994">
        <v>59.73</v>
      </c>
      <c r="B994" t="s">
        <v>1010</v>
      </c>
      <c r="C994" t="s">
        <v>1150</v>
      </c>
      <c r="D994" t="s">
        <v>90</v>
      </c>
      <c r="E994">
        <v>6</v>
      </c>
      <c r="F994" t="s">
        <v>219</v>
      </c>
      <c r="G994">
        <v>103.4</v>
      </c>
      <c r="H994">
        <v>37</v>
      </c>
      <c r="I994">
        <v>26</v>
      </c>
      <c r="J994">
        <v>258</v>
      </c>
      <c r="K994">
        <v>232</v>
      </c>
    </row>
    <row r="995" spans="1:11" x14ac:dyDescent="0.3">
      <c r="A995">
        <v>3.63</v>
      </c>
      <c r="B995" t="s">
        <v>1010</v>
      </c>
      <c r="C995" t="s">
        <v>1151</v>
      </c>
      <c r="D995" t="s">
        <v>130</v>
      </c>
      <c r="E995">
        <v>6</v>
      </c>
      <c r="F995" t="s">
        <v>299</v>
      </c>
      <c r="G995">
        <v>5.89</v>
      </c>
      <c r="H995">
        <v>48</v>
      </c>
      <c r="I995">
        <v>45</v>
      </c>
      <c r="J995">
        <v>308</v>
      </c>
      <c r="K995">
        <v>263</v>
      </c>
    </row>
    <row r="996" spans="1:11" x14ac:dyDescent="0.3">
      <c r="A996">
        <v>3.83</v>
      </c>
      <c r="B996" t="s">
        <v>1010</v>
      </c>
      <c r="C996" t="s">
        <v>1152</v>
      </c>
      <c r="D996" t="s">
        <v>83</v>
      </c>
      <c r="E996">
        <v>1</v>
      </c>
      <c r="F996" t="s">
        <v>84</v>
      </c>
      <c r="G996">
        <v>6.14</v>
      </c>
      <c r="H996">
        <v>14</v>
      </c>
      <c r="I996">
        <v>10</v>
      </c>
      <c r="J996">
        <v>71</v>
      </c>
      <c r="K996">
        <v>61</v>
      </c>
    </row>
    <row r="997" spans="1:11" x14ac:dyDescent="0.3">
      <c r="A997">
        <v>11.45</v>
      </c>
      <c r="B997" t="s">
        <v>1010</v>
      </c>
      <c r="C997" t="s">
        <v>1153</v>
      </c>
      <c r="D997" t="s">
        <v>130</v>
      </c>
      <c r="E997">
        <v>9</v>
      </c>
      <c r="F997" t="s">
        <v>192</v>
      </c>
      <c r="G997">
        <v>22.62</v>
      </c>
      <c r="H997">
        <v>25</v>
      </c>
      <c r="I997">
        <v>7</v>
      </c>
      <c r="J997">
        <v>113</v>
      </c>
      <c r="K997">
        <v>106</v>
      </c>
    </row>
    <row r="998" spans="1:11" x14ac:dyDescent="0.3">
      <c r="A998">
        <v>5.8</v>
      </c>
      <c r="B998" t="s">
        <v>1010</v>
      </c>
      <c r="C998" t="s">
        <v>1154</v>
      </c>
      <c r="D998" t="s">
        <v>130</v>
      </c>
      <c r="E998">
        <v>5</v>
      </c>
      <c r="F998" t="s">
        <v>154</v>
      </c>
      <c r="G998">
        <v>12.41</v>
      </c>
      <c r="H998">
        <v>86</v>
      </c>
      <c r="I998">
        <v>33</v>
      </c>
      <c r="J998">
        <v>435</v>
      </c>
      <c r="K998">
        <v>402</v>
      </c>
    </row>
    <row r="999" spans="1:11" x14ac:dyDescent="0.3">
      <c r="A999">
        <v>10.45</v>
      </c>
      <c r="B999" t="s">
        <v>1010</v>
      </c>
      <c r="C999" t="s">
        <v>1155</v>
      </c>
      <c r="D999" t="s">
        <v>77</v>
      </c>
      <c r="E999">
        <v>7</v>
      </c>
      <c r="F999" t="s">
        <v>262</v>
      </c>
      <c r="G999">
        <v>14.7</v>
      </c>
      <c r="H999">
        <v>102</v>
      </c>
      <c r="I999">
        <v>31</v>
      </c>
      <c r="J999">
        <v>448</v>
      </c>
      <c r="K999">
        <v>417</v>
      </c>
    </row>
    <row r="1000" spans="1:11" x14ac:dyDescent="0.3">
      <c r="A1000">
        <v>8.0500000000000007</v>
      </c>
      <c r="B1000" t="s">
        <v>1010</v>
      </c>
      <c r="C1000" t="s">
        <v>1156</v>
      </c>
      <c r="D1000" t="s">
        <v>90</v>
      </c>
      <c r="E1000">
        <v>4</v>
      </c>
      <c r="F1000" t="s">
        <v>91</v>
      </c>
      <c r="G1000">
        <v>13.63</v>
      </c>
      <c r="H1000">
        <v>23</v>
      </c>
      <c r="I1000">
        <v>10</v>
      </c>
      <c r="J1000">
        <v>115</v>
      </c>
      <c r="K1000">
        <v>105</v>
      </c>
    </row>
    <row r="1001" spans="1:11" x14ac:dyDescent="0.3">
      <c r="A1001">
        <v>11.13</v>
      </c>
      <c r="B1001" t="s">
        <v>1010</v>
      </c>
      <c r="C1001" t="s">
        <v>1157</v>
      </c>
      <c r="D1001" t="s">
        <v>93</v>
      </c>
      <c r="E1001">
        <v>7</v>
      </c>
      <c r="F1001" t="s">
        <v>108</v>
      </c>
      <c r="G1001">
        <v>24.2</v>
      </c>
      <c r="H1001">
        <v>87</v>
      </c>
      <c r="I1001">
        <v>53</v>
      </c>
      <c r="J1001">
        <v>475</v>
      </c>
      <c r="K1001">
        <v>422</v>
      </c>
    </row>
    <row r="1002" spans="1:11" x14ac:dyDescent="0.3">
      <c r="A1002">
        <v>14.13</v>
      </c>
      <c r="B1002" t="s">
        <v>1010</v>
      </c>
      <c r="C1002" t="s">
        <v>1158</v>
      </c>
      <c r="D1002" t="s">
        <v>80</v>
      </c>
      <c r="E1002">
        <v>1</v>
      </c>
      <c r="F1002" t="s">
        <v>186</v>
      </c>
      <c r="G1002">
        <v>18.79</v>
      </c>
      <c r="H1002">
        <v>59</v>
      </c>
      <c r="I1002">
        <v>38</v>
      </c>
      <c r="J1002">
        <v>253</v>
      </c>
      <c r="K1002">
        <v>215</v>
      </c>
    </row>
    <row r="1003" spans="1:11" x14ac:dyDescent="0.3">
      <c r="A1003">
        <v>9.4</v>
      </c>
      <c r="B1003" t="s">
        <v>1010</v>
      </c>
      <c r="C1003" t="s">
        <v>1159</v>
      </c>
      <c r="D1003" t="s">
        <v>87</v>
      </c>
      <c r="E1003">
        <v>5</v>
      </c>
      <c r="F1003" t="s">
        <v>237</v>
      </c>
      <c r="G1003">
        <v>14.52</v>
      </c>
      <c r="H1003">
        <v>26</v>
      </c>
      <c r="I1003">
        <v>19</v>
      </c>
      <c r="J1003">
        <v>154</v>
      </c>
      <c r="K1003">
        <v>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F27E-2F8E-4AFA-BFAF-C150FA41EB86}">
  <dimension ref="A1:F15"/>
  <sheetViews>
    <sheetView zoomScale="130" zoomScaleNormal="130" workbookViewId="0">
      <selection activeCell="F6" sqref="F6"/>
    </sheetView>
  </sheetViews>
  <sheetFormatPr baseColWidth="10" defaultRowHeight="14.4" x14ac:dyDescent="0.3"/>
  <cols>
    <col min="1" max="1" width="18.77734375" style="37" bestFit="1" customWidth="1"/>
    <col min="2" max="3" width="13" style="37" bestFit="1" customWidth="1"/>
    <col min="4" max="4" width="11.5546875" style="37"/>
    <col min="5" max="5" width="18.77734375" style="37" bestFit="1" customWidth="1"/>
    <col min="6" max="6" width="24.88671875" style="37" bestFit="1" customWidth="1"/>
    <col min="7" max="16384" width="11.5546875" style="37"/>
  </cols>
  <sheetData>
    <row r="1" spans="1:6" x14ac:dyDescent="0.3">
      <c r="A1" s="37" t="s">
        <v>37</v>
      </c>
      <c r="B1" s="37" t="s">
        <v>38</v>
      </c>
      <c r="C1" s="37" t="s">
        <v>39</v>
      </c>
    </row>
    <row r="2" spans="1:6" x14ac:dyDescent="0.3">
      <c r="A2" s="38">
        <v>3831548.9999999995</v>
      </c>
      <c r="B2" s="38">
        <v>1631171.4400000023</v>
      </c>
      <c r="C2" s="39">
        <v>0.42572114828754704</v>
      </c>
    </row>
    <row r="6" spans="1:6" x14ac:dyDescent="0.3">
      <c r="A6" s="37" t="s">
        <v>35</v>
      </c>
      <c r="B6" s="37" t="s">
        <v>37</v>
      </c>
      <c r="C6" s="37" t="s">
        <v>38</v>
      </c>
      <c r="E6" s="37" t="s">
        <v>35</v>
      </c>
      <c r="F6" s="37" t="s">
        <v>48</v>
      </c>
    </row>
    <row r="7" spans="1:6" x14ac:dyDescent="0.3">
      <c r="A7" s="40" t="s">
        <v>40</v>
      </c>
      <c r="B7" s="38">
        <v>354847.88999999996</v>
      </c>
      <c r="C7" s="38">
        <v>152908.62999999992</v>
      </c>
      <c r="E7" s="40" t="s">
        <v>40</v>
      </c>
      <c r="F7" s="66">
        <v>18137</v>
      </c>
    </row>
    <row r="8" spans="1:6" x14ac:dyDescent="0.3">
      <c r="A8" s="40" t="s">
        <v>41</v>
      </c>
      <c r="B8" s="38">
        <v>179144.21999999994</v>
      </c>
      <c r="C8" s="38">
        <v>72589.409999999974</v>
      </c>
      <c r="E8" s="40" t="s">
        <v>41</v>
      </c>
      <c r="F8" s="66">
        <v>15364</v>
      </c>
    </row>
    <row r="9" spans="1:6" x14ac:dyDescent="0.3">
      <c r="A9" s="40" t="s">
        <v>42</v>
      </c>
      <c r="B9" s="38">
        <v>393756.54999999987</v>
      </c>
      <c r="C9" s="38">
        <v>165803.36999999985</v>
      </c>
      <c r="E9" s="40" t="s">
        <v>42</v>
      </c>
      <c r="F9" s="66">
        <v>16979</v>
      </c>
    </row>
    <row r="10" spans="1:6" x14ac:dyDescent="0.3">
      <c r="A10" s="40" t="s">
        <v>43</v>
      </c>
      <c r="B10" s="38">
        <v>1238469.79</v>
      </c>
      <c r="C10" s="38">
        <v>522114.46999999986</v>
      </c>
      <c r="E10" s="40" t="s">
        <v>43</v>
      </c>
      <c r="F10" s="66">
        <v>17621</v>
      </c>
    </row>
    <row r="11" spans="1:6" x14ac:dyDescent="0.3">
      <c r="A11" s="40" t="s">
        <v>44</v>
      </c>
      <c r="B11" s="38">
        <v>468877.88</v>
      </c>
      <c r="C11" s="38">
        <v>196571.87</v>
      </c>
      <c r="E11" s="40" t="s">
        <v>44</v>
      </c>
      <c r="F11" s="66">
        <v>18387</v>
      </c>
    </row>
    <row r="12" spans="1:6" x14ac:dyDescent="0.3">
      <c r="A12" s="40" t="s">
        <v>45</v>
      </c>
      <c r="B12" s="38">
        <v>500748.5799999999</v>
      </c>
      <c r="C12" s="38">
        <v>217310.89999999991</v>
      </c>
      <c r="E12" s="40" t="s">
        <v>45</v>
      </c>
      <c r="F12" s="66">
        <v>19704</v>
      </c>
    </row>
    <row r="13" spans="1:6" x14ac:dyDescent="0.3">
      <c r="A13" s="40" t="s">
        <v>46</v>
      </c>
      <c r="B13" s="38">
        <v>473433.52</v>
      </c>
      <c r="C13" s="38">
        <v>204569.77000000014</v>
      </c>
      <c r="E13" s="40" t="s">
        <v>46</v>
      </c>
      <c r="F13" s="66">
        <v>13736</v>
      </c>
    </row>
    <row r="14" spans="1:6" x14ac:dyDescent="0.3">
      <c r="A14" s="40" t="s">
        <v>47</v>
      </c>
      <c r="B14" s="38">
        <v>222270.56999999995</v>
      </c>
      <c r="C14" s="38">
        <v>99303.019999999975</v>
      </c>
      <c r="E14" s="40" t="s">
        <v>47</v>
      </c>
      <c r="F14" s="66">
        <v>17112</v>
      </c>
    </row>
    <row r="15" spans="1:6" x14ac:dyDescent="0.3">
      <c r="A15" s="40" t="s">
        <v>36</v>
      </c>
      <c r="B15" s="38">
        <v>3831548.9999999995</v>
      </c>
      <c r="C15" s="38">
        <v>1631171.4400000023</v>
      </c>
      <c r="E15" s="40" t="s">
        <v>36</v>
      </c>
      <c r="F15" s="66">
        <v>137040</v>
      </c>
    </row>
  </sheetData>
  <pageMargins left="0.7" right="0.7" top="0.75" bottom="0.75" header="0.3" footer="0.3"/>
  <pageSetup paperSize="9"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6B246-D92D-4D8C-ACAA-39BB6BF76519}">
  <dimension ref="A1:N30"/>
  <sheetViews>
    <sheetView showGridLines="0" tabSelected="1" zoomScale="85" zoomScaleNormal="85" workbookViewId="0">
      <selection sqref="A1:J2"/>
    </sheetView>
  </sheetViews>
  <sheetFormatPr baseColWidth="10" defaultRowHeight="14.4" x14ac:dyDescent="0.3"/>
  <cols>
    <col min="1" max="14" width="15.5546875" style="36" customWidth="1"/>
    <col min="15" max="16384" width="11.5546875" style="36"/>
  </cols>
  <sheetData>
    <row r="1" spans="1:14" ht="30" customHeight="1" x14ac:dyDescent="0.3">
      <c r="A1" s="70" t="s">
        <v>49</v>
      </c>
      <c r="B1" s="70"/>
      <c r="C1" s="70"/>
      <c r="D1" s="70"/>
      <c r="E1" s="70"/>
      <c r="F1" s="70"/>
      <c r="G1" s="70"/>
      <c r="H1" s="70"/>
      <c r="I1" s="70"/>
      <c r="J1" s="70"/>
      <c r="K1" s="67" t="s">
        <v>50</v>
      </c>
      <c r="L1" s="68"/>
      <c r="M1" s="68"/>
      <c r="N1" s="69"/>
    </row>
    <row r="2" spans="1:14" ht="28.05" customHeight="1" x14ac:dyDescent="0.3">
      <c r="A2" s="70"/>
      <c r="B2" s="70"/>
      <c r="C2" s="70"/>
      <c r="D2" s="70"/>
      <c r="E2" s="70"/>
      <c r="F2" s="70"/>
      <c r="G2" s="70"/>
      <c r="H2" s="70"/>
      <c r="I2" s="70"/>
      <c r="J2" s="70"/>
      <c r="K2" s="44"/>
      <c r="L2" s="44"/>
      <c r="M2" s="44"/>
      <c r="N2" s="45"/>
    </row>
    <row r="3" spans="1:14" ht="19.95" customHeight="1" x14ac:dyDescent="0.3">
      <c r="A3" s="41"/>
      <c r="B3" s="41"/>
      <c r="C3" s="41"/>
      <c r="D3" s="41"/>
      <c r="E3" s="41"/>
      <c r="F3" s="41"/>
      <c r="G3" s="41"/>
      <c r="H3" s="41"/>
      <c r="I3" s="41"/>
      <c r="J3" s="41"/>
      <c r="K3" s="44"/>
      <c r="L3" s="44"/>
      <c r="M3" s="44"/>
      <c r="N3" s="45"/>
    </row>
    <row r="4" spans="1:14" ht="22.05" customHeight="1" x14ac:dyDescent="0.3">
      <c r="A4" s="49" t="s">
        <v>51</v>
      </c>
      <c r="B4" s="50"/>
      <c r="C4" s="49" t="s">
        <v>52</v>
      </c>
      <c r="D4" s="50"/>
      <c r="E4" s="50"/>
      <c r="F4" s="49" t="s">
        <v>53</v>
      </c>
      <c r="G4" s="50"/>
      <c r="H4" s="50"/>
      <c r="I4" s="49" t="s">
        <v>54</v>
      </c>
      <c r="J4" s="59"/>
      <c r="K4" s="44"/>
      <c r="L4" s="44"/>
      <c r="M4" s="44"/>
      <c r="N4" s="45"/>
    </row>
    <row r="5" spans="1:14" ht="28.05" customHeight="1" x14ac:dyDescent="0.3">
      <c r="A5" s="51">
        <f>TD_Dashboard!A2</f>
        <v>3831548.9999999995</v>
      </c>
      <c r="B5" s="52"/>
      <c r="C5" s="51">
        <f>TD_Dashboard!B2</f>
        <v>1631171.4400000023</v>
      </c>
      <c r="D5" s="52"/>
      <c r="E5" s="52"/>
      <c r="F5" s="55">
        <f>TD_Dashboard!C2</f>
        <v>0.42572114828754704</v>
      </c>
      <c r="G5" s="56"/>
      <c r="H5" s="56"/>
      <c r="I5" s="60" t="str">
        <f>IF(F5&gt;=40%,"META SUPERADA","BAJO META")</f>
        <v>META SUPERADA</v>
      </c>
      <c r="J5" s="61"/>
      <c r="K5" s="44"/>
      <c r="L5" s="44"/>
      <c r="M5" s="44"/>
      <c r="N5" s="45"/>
    </row>
    <row r="6" spans="1:14" ht="28.05" customHeight="1" x14ac:dyDescent="0.3">
      <c r="A6" s="51"/>
      <c r="B6" s="52"/>
      <c r="C6" s="51"/>
      <c r="D6" s="52"/>
      <c r="E6" s="52"/>
      <c r="F6" s="55"/>
      <c r="G6" s="56"/>
      <c r="H6" s="56"/>
      <c r="I6" s="60"/>
      <c r="J6" s="61"/>
      <c r="K6" s="44"/>
      <c r="L6" s="44"/>
      <c r="M6" s="44"/>
      <c r="N6" s="45"/>
    </row>
    <row r="7" spans="1:14" ht="28.05" customHeight="1" x14ac:dyDescent="0.3">
      <c r="A7" s="53"/>
      <c r="B7" s="54"/>
      <c r="C7" s="53"/>
      <c r="D7" s="54"/>
      <c r="E7" s="54"/>
      <c r="F7" s="57"/>
      <c r="G7" s="58"/>
      <c r="H7" s="58"/>
      <c r="I7" s="62"/>
      <c r="J7" s="63"/>
      <c r="K7" s="44"/>
      <c r="L7" s="44"/>
      <c r="M7" s="44"/>
      <c r="N7" s="45"/>
    </row>
    <row r="8" spans="1:14" ht="12" customHeight="1" x14ac:dyDescent="0.3">
      <c r="A8" s="41"/>
      <c r="B8" s="41"/>
      <c r="C8" s="41"/>
      <c r="D8" s="41"/>
      <c r="E8" s="41"/>
      <c r="F8" s="41"/>
      <c r="G8" s="41"/>
      <c r="H8" s="41"/>
      <c r="I8" s="41"/>
      <c r="J8" s="41"/>
      <c r="K8" s="46"/>
      <c r="L8" s="46"/>
      <c r="M8" s="46"/>
      <c r="N8" s="47"/>
    </row>
    <row r="9" spans="1:14" ht="24" customHeight="1" x14ac:dyDescent="0.3">
      <c r="A9" s="71" t="s">
        <v>55</v>
      </c>
      <c r="B9" s="71"/>
      <c r="C9" s="71"/>
      <c r="D9" s="71"/>
      <c r="E9" s="71"/>
      <c r="F9" s="71"/>
      <c r="G9" s="71"/>
      <c r="H9" s="71" t="s">
        <v>56</v>
      </c>
      <c r="I9" s="71"/>
      <c r="J9" s="71"/>
      <c r="K9" s="71"/>
      <c r="L9" s="71"/>
      <c r="M9" s="71"/>
      <c r="N9" s="71"/>
    </row>
    <row r="10" spans="1:14" ht="18" customHeight="1" x14ac:dyDescent="0.3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</row>
    <row r="11" spans="1:14" ht="18" customHeight="1" x14ac:dyDescent="0.3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</row>
    <row r="12" spans="1:14" ht="18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</row>
    <row r="13" spans="1:14" ht="18" customHeight="1" x14ac:dyDescent="0.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</row>
    <row r="14" spans="1:14" ht="18" customHeight="1" x14ac:dyDescent="0.3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</row>
    <row r="15" spans="1:14" ht="18" customHeight="1" x14ac:dyDescent="0.3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</row>
    <row r="16" spans="1:14" ht="18" customHeight="1" x14ac:dyDescent="0.3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</row>
    <row r="17" spans="1:14" ht="18" customHeight="1" x14ac:dyDescent="0.3">
      <c r="A17" s="4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spans="1:14" ht="18" customHeight="1" x14ac:dyDescent="0.3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</row>
    <row r="19" spans="1:14" ht="18" customHeight="1" x14ac:dyDescent="0.3">
      <c r="A19" s="4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</row>
    <row r="20" spans="1:14" ht="18" customHeight="1" x14ac:dyDescent="0.3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</row>
    <row r="21" spans="1:14" ht="18" customHeight="1" x14ac:dyDescent="0.3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</row>
    <row r="22" spans="1:14" ht="18" customHeight="1" x14ac:dyDescent="0.3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</row>
    <row r="23" spans="1:14" ht="18" customHeight="1" x14ac:dyDescent="0.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</row>
    <row r="24" spans="1:14" ht="10.050000000000001" customHeight="1" x14ac:dyDescent="0.3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</row>
    <row r="25" spans="1:14" ht="24" customHeight="1" x14ac:dyDescent="0.3">
      <c r="A25" s="71" t="s">
        <v>57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</row>
    <row r="26" spans="1:14" ht="28.05" customHeight="1" x14ac:dyDescent="0.3">
      <c r="A26" s="48" t="s">
        <v>1161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</row>
    <row r="27" spans="1:14" ht="28.05" customHeight="1" x14ac:dyDescent="0.3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</row>
    <row r="28" spans="1:14" ht="28.05" customHeight="1" x14ac:dyDescent="0.3">
      <c r="A28" s="48" t="s">
        <v>1162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</row>
    <row r="29" spans="1:14" ht="28.05" customHeight="1" x14ac:dyDescent="0.3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</row>
    <row r="30" spans="1:14" ht="22.05" customHeight="1" x14ac:dyDescent="0.3">
      <c r="A30" s="43" t="s">
        <v>58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</row>
  </sheetData>
  <mergeCells count="17">
    <mergeCell ref="A4:B4"/>
    <mergeCell ref="A30:N30"/>
    <mergeCell ref="K2:N8"/>
    <mergeCell ref="A9:G9"/>
    <mergeCell ref="H9:N9"/>
    <mergeCell ref="A25:N25"/>
    <mergeCell ref="A26:N27"/>
    <mergeCell ref="A28:N29"/>
    <mergeCell ref="A1:J2"/>
    <mergeCell ref="K1:N1"/>
    <mergeCell ref="C4:E4"/>
    <mergeCell ref="C5:E7"/>
    <mergeCell ref="F4:H4"/>
    <mergeCell ref="F5:H7"/>
    <mergeCell ref="I4:J4"/>
    <mergeCell ref="I5:J7"/>
    <mergeCell ref="A5:B7"/>
  </mergeCells>
  <conditionalFormatting sqref="F5:J7">
    <cfRule type="expression" dxfId="306" priority="3">
      <formula>$F$5&gt;=0.4</formula>
    </cfRule>
    <cfRule type="expression" dxfId="305" priority="4">
      <formula>$F$5&lt;0.4</formula>
    </cfRule>
  </conditionalFormatting>
  <conditionalFormatting sqref="F5:H7">
    <cfRule type="cellIs" dxfId="300" priority="2" operator="greaterThan">
      <formula>0.4</formula>
    </cfRule>
    <cfRule type="cellIs" dxfId="301" priority="1" operator="lessThan">
      <formula>0.4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EAC74-D23E-4892-88E4-25AB55A0D72C}">
  <sheetPr>
    <outlinePr summaryBelow="0"/>
  </sheetPr>
  <dimension ref="B1:G11"/>
  <sheetViews>
    <sheetView showGridLines="0" workbookViewId="0">
      <selection activeCell="B6" sqref="B6:C6"/>
    </sheetView>
  </sheetViews>
  <sheetFormatPr baseColWidth="10" defaultRowHeight="14.4" outlineLevelRow="1" outlineLevelCol="1" x14ac:dyDescent="0.3"/>
  <cols>
    <col min="3" max="3" width="9.33203125" customWidth="1"/>
    <col min="4" max="7" width="13.88671875" bestFit="1" customWidth="1" outlineLevel="1"/>
  </cols>
  <sheetData>
    <row r="1" spans="2:7" ht="15" thickBot="1" x14ac:dyDescent="0.35"/>
    <row r="2" spans="2:7" ht="15.6" x14ac:dyDescent="0.3">
      <c r="B2" s="29" t="s">
        <v>27</v>
      </c>
      <c r="C2" s="29"/>
      <c r="D2" s="32"/>
      <c r="E2" s="32"/>
      <c r="F2" s="32"/>
      <c r="G2" s="32"/>
    </row>
    <row r="3" spans="2:7" ht="15.6" collapsed="1" x14ac:dyDescent="0.3">
      <c r="B3" s="28"/>
      <c r="C3" s="28"/>
      <c r="D3" s="33" t="s">
        <v>29</v>
      </c>
      <c r="E3" s="33" t="s">
        <v>23</v>
      </c>
      <c r="F3" s="33" t="s">
        <v>25</v>
      </c>
      <c r="G3" s="33" t="s">
        <v>26</v>
      </c>
    </row>
    <row r="4" spans="2:7" ht="64.8" hidden="1" outlineLevel="1" x14ac:dyDescent="0.3">
      <c r="B4" s="30"/>
      <c r="C4" s="30"/>
      <c r="E4" s="35" t="s">
        <v>24</v>
      </c>
      <c r="F4" s="35" t="s">
        <v>34</v>
      </c>
      <c r="G4" s="35" t="s">
        <v>34</v>
      </c>
    </row>
    <row r="5" spans="2:7" x14ac:dyDescent="0.3">
      <c r="B5" s="31" t="s">
        <v>28</v>
      </c>
      <c r="C5" s="31"/>
      <c r="D5" s="1"/>
      <c r="E5" s="1"/>
      <c r="F5" s="1"/>
      <c r="G5" s="1"/>
    </row>
    <row r="6" spans="2:7" outlineLevel="1" x14ac:dyDescent="0.3">
      <c r="B6" s="65" t="s">
        <v>19</v>
      </c>
      <c r="C6" s="65"/>
      <c r="D6" s="26">
        <v>0</v>
      </c>
      <c r="E6" s="34">
        <v>0</v>
      </c>
      <c r="F6" s="34">
        <v>0.15</v>
      </c>
      <c r="G6" s="34">
        <v>-0.1</v>
      </c>
    </row>
    <row r="7" spans="2:7" x14ac:dyDescent="0.3">
      <c r="B7" s="31" t="s">
        <v>30</v>
      </c>
      <c r="C7" s="31"/>
      <c r="D7" s="1"/>
      <c r="E7" s="1"/>
      <c r="F7" s="1"/>
      <c r="G7" s="1"/>
    </row>
    <row r="8" spans="2:7" ht="15" outlineLevel="1" thickBot="1" x14ac:dyDescent="0.35">
      <c r="B8" s="64" t="s">
        <v>22</v>
      </c>
      <c r="C8" s="64"/>
      <c r="D8" s="27">
        <v>5000</v>
      </c>
      <c r="E8" s="27">
        <v>5000</v>
      </c>
      <c r="F8" s="27">
        <v>4250</v>
      </c>
      <c r="G8" s="27">
        <v>5500</v>
      </c>
    </row>
    <row r="9" spans="2:7" x14ac:dyDescent="0.3">
      <c r="B9" t="s">
        <v>31</v>
      </c>
    </row>
    <row r="10" spans="2:7" x14ac:dyDescent="0.3">
      <c r="B10" t="s">
        <v>32</v>
      </c>
    </row>
    <row r="11" spans="2:7" x14ac:dyDescent="0.3">
      <c r="B11" t="s">
        <v>33</v>
      </c>
    </row>
  </sheetData>
  <mergeCells count="2">
    <mergeCell ref="B8:C8"/>
    <mergeCell ref="B6:C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D15CC-DFE2-48D1-84A2-B3F9599F4220}">
  <dimension ref="A1:B8"/>
  <sheetViews>
    <sheetView workbookViewId="0">
      <selection activeCell="B8" sqref="B8"/>
    </sheetView>
  </sheetViews>
  <sheetFormatPr baseColWidth="10" defaultRowHeight="14.4" x14ac:dyDescent="0.3"/>
  <cols>
    <col min="1" max="1" width="32.44140625" customWidth="1"/>
    <col min="2" max="2" width="17.5546875" customWidth="1"/>
  </cols>
  <sheetData>
    <row r="1" spans="1:2" x14ac:dyDescent="0.3">
      <c r="A1" s="20" t="s">
        <v>14</v>
      </c>
      <c r="B1" s="14" t="s">
        <v>15</v>
      </c>
    </row>
    <row r="2" spans="1:2" x14ac:dyDescent="0.3">
      <c r="A2" s="21" t="s">
        <v>16</v>
      </c>
      <c r="B2" s="15">
        <v>249.99999999999997</v>
      </c>
    </row>
    <row r="3" spans="1:2" x14ac:dyDescent="0.3">
      <c r="A3" s="21" t="s">
        <v>17</v>
      </c>
      <c r="B3" s="16">
        <v>40</v>
      </c>
    </row>
    <row r="4" spans="1:2" x14ac:dyDescent="0.3">
      <c r="A4" s="21" t="s">
        <v>18</v>
      </c>
      <c r="B4" s="16">
        <v>20</v>
      </c>
    </row>
    <row r="5" spans="1:2" x14ac:dyDescent="0.3">
      <c r="A5" s="21" t="s">
        <v>19</v>
      </c>
      <c r="B5" s="25">
        <v>0</v>
      </c>
    </row>
    <row r="6" spans="1:2" x14ac:dyDescent="0.3">
      <c r="A6" s="22" t="s">
        <v>20</v>
      </c>
      <c r="B6" s="17">
        <f>B2*B3</f>
        <v>9999.9999999999982</v>
      </c>
    </row>
    <row r="7" spans="1:2" ht="15" thickBot="1" x14ac:dyDescent="0.35">
      <c r="A7" s="23" t="s">
        <v>21</v>
      </c>
      <c r="B7" s="18">
        <f>(B2*B4)*(1+B5)</f>
        <v>4999.9999999999991</v>
      </c>
    </row>
    <row r="8" spans="1:2" ht="15" thickTop="1" x14ac:dyDescent="0.3">
      <c r="A8" s="24" t="s">
        <v>22</v>
      </c>
      <c r="B8" s="19">
        <f>B6-B7</f>
        <v>4999.9999999999991</v>
      </c>
    </row>
  </sheetData>
  <scenarios current="2" show="0" sqref="B8">
    <scenario name="Base" locked="1" count="1" user="German Agustin Solis" comment="Creado por German Agustin Solis el 15/9/2026">
      <inputCells r="B5" val="0" numFmtId="168"/>
    </scenario>
    <scenario name="Pesimista" locked="1" count="1" user="German Agustin Solis" comment="Creado por German Agustin Solis el 15/9/2026_x000a_Modificado por German Agustin Solis el 15/9/2026">
      <inputCells r="B5" val="0,15" numFmtId="168"/>
    </scenario>
    <scenario name="Optimista" locked="1" count="1" user="German Agustin Solis" comment="Creado por German Agustin Solis el 15/9/2026_x000a_Modificado por German Agustin Solis el 15/9/2026">
      <inputCells r="B5" val="-0,1" numFmtId="168"/>
    </scenario>
  </scenario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Props1.xml><?xml version="1.0" encoding="utf-8"?>
<ds:datastoreItem xmlns:ds="http://schemas.openxmlformats.org/officeDocument/2006/customXml" ds:itemID="{576D0B9C-D9A3-4B7A-A69F-0B41B552FE61}">
  <ds:schemaRefs/>
</ds:datastoreItem>
</file>

<file path=customXml/itemProps2.xml><?xml version="1.0" encoding="utf-8"?>
<ds:datastoreItem xmlns:ds="http://schemas.openxmlformats.org/officeDocument/2006/customXml" ds:itemID="{95EF63A9-27C7-4FBD-B786-449F5979B1DE}">
  <ds:schemaRefs/>
</ds:datastoreItem>
</file>

<file path=customXml/itemProps3.xml><?xml version="1.0" encoding="utf-8"?>
<ds:datastoreItem xmlns:ds="http://schemas.openxmlformats.org/officeDocument/2006/customXml" ds:itemID="{ED5AC782-7DCF-43F9-AAEF-9D1F51775C39}">
  <ds:schemaRefs/>
</ds:datastoreItem>
</file>

<file path=customXml/itemProps4.xml><?xml version="1.0" encoding="utf-8"?>
<ds:datastoreItem xmlns:ds="http://schemas.openxmlformats.org/officeDocument/2006/customXml" ds:itemID="{F5363989-8B93-40C8-8D41-3D0E22EDA1C2}">
  <ds:schemaRefs/>
</ds:datastoreItem>
</file>

<file path=customXml/itemProps5.xml><?xml version="1.0" encoding="utf-8"?>
<ds:datastoreItem xmlns:ds="http://schemas.openxmlformats.org/officeDocument/2006/customXml" ds:itemID="{1733FA53-A317-41CB-9A2B-682A1A3D08F0}">
  <ds:schemaRefs/>
</ds:datastoreItem>
</file>

<file path=customXml/itemProps6.xml><?xml version="1.0" encoding="utf-8"?>
<ds:datastoreItem xmlns:ds="http://schemas.openxmlformats.org/officeDocument/2006/customXml" ds:itemID="{586F5B4D-C9B9-49C2-AB22-2C44D58FD3A8}">
  <ds:schemaRefs/>
</ds:datastoreItem>
</file>

<file path=customXml/itemProps7.xml><?xml version="1.0" encoding="utf-8"?>
<ds:datastoreItem xmlns:ds="http://schemas.openxmlformats.org/officeDocument/2006/customXml" ds:itemID="{E8760A57-E548-4B17-A682-400C0BF84052}">
  <ds:schemaRefs/>
</ds:datastoreItem>
</file>

<file path=customXml/itemProps8.xml><?xml version="1.0" encoding="utf-8"?>
<ds:datastoreItem xmlns:ds="http://schemas.openxmlformats.org/officeDocument/2006/customXml" ds:itemID="{E10C17C5-683E-417B-AA86-7DDE099F4C1F}">
  <ds:schemaRefs/>
</ds:datastoreItem>
</file>

<file path=customXml/itemProps9.xml><?xml version="1.0" encoding="utf-8"?>
<ds:datastoreItem xmlns:ds="http://schemas.openxmlformats.org/officeDocument/2006/customXml" ds:itemID="{CC978F02-C8EF-415C-8A29-53938E342EF3}">
  <ds:schemaRefs/>
</ds:datastoreItem>
</file>

<file path=customXml/itemProps10.xml><?xml version="1.0" encoding="utf-8"?>
<ds:datastoreItem xmlns:ds="http://schemas.openxmlformats.org/officeDocument/2006/customXml" ds:itemID="{6C300728-79D3-409E-BFCC-0F734884F20B}">
  <ds:schemaRefs/>
</ds:datastoreItem>
</file>

<file path=customXml/itemProps11.xml><?xml version="1.0" encoding="utf-8"?>
<ds:datastoreItem xmlns:ds="http://schemas.openxmlformats.org/officeDocument/2006/customXml" ds:itemID="{A038FB0B-56E3-4B33-9261-808E7B4566DC}">
  <ds:schemaRefs/>
</ds:datastoreItem>
</file>

<file path=customXml/itemProps12.xml><?xml version="1.0" encoding="utf-8"?>
<ds:datastoreItem xmlns:ds="http://schemas.openxmlformats.org/officeDocument/2006/customXml" ds:itemID="{9951AAAD-9DAE-40F0-B5C1-0907ED218848}">
  <ds:schemaRefs/>
</ds:datastoreItem>
</file>

<file path=customXml/itemProps13.xml><?xml version="1.0" encoding="utf-8"?>
<ds:datastoreItem xmlns:ds="http://schemas.openxmlformats.org/officeDocument/2006/customXml" ds:itemID="{5E4B60D9-543A-44C3-957A-0E537D785FBA}">
  <ds:schemaRefs/>
</ds:datastoreItem>
</file>

<file path=customXml/itemProps14.xml><?xml version="1.0" encoding="utf-8"?>
<ds:datastoreItem xmlns:ds="http://schemas.openxmlformats.org/officeDocument/2006/customXml" ds:itemID="{E459A099-37D5-40B5-9934-6FAB5B43E4DA}">
  <ds:schemaRefs/>
</ds:datastoreItem>
</file>

<file path=customXml/itemProps15.xml><?xml version="1.0" encoding="utf-8"?>
<ds:datastoreItem xmlns:ds="http://schemas.openxmlformats.org/officeDocument/2006/customXml" ds:itemID="{8E50AB3B-018A-46C8-84BD-C134A9383CCF}">
  <ds:schemaRefs/>
</ds:datastoreItem>
</file>

<file path=customXml/itemProps16.xml><?xml version="1.0" encoding="utf-8"?>
<ds:datastoreItem xmlns:ds="http://schemas.openxmlformats.org/officeDocument/2006/customXml" ds:itemID="{1DC17969-C2C8-4439-886B-51BE1995B36B}">
  <ds:schemaRefs/>
</ds:datastoreItem>
</file>

<file path=customXml/itemProps17.xml><?xml version="1.0" encoding="utf-8"?>
<ds:datastoreItem xmlns:ds="http://schemas.openxmlformats.org/officeDocument/2006/customXml" ds:itemID="{2046D3E5-B49B-4601-BC40-A166F6CEAEE7}">
  <ds:schemaRefs/>
</ds:datastoreItem>
</file>

<file path=customXml/itemProps18.xml><?xml version="1.0" encoding="utf-8"?>
<ds:datastoreItem xmlns:ds="http://schemas.openxmlformats.org/officeDocument/2006/customXml" ds:itemID="{DA70B6EE-FC41-44C1-88D2-3F2FB7EA086C}">
  <ds:schemaRefs/>
</ds:datastoreItem>
</file>

<file path=customXml/itemProps19.xml><?xml version="1.0" encoding="utf-8"?>
<ds:datastoreItem xmlns:ds="http://schemas.openxmlformats.org/officeDocument/2006/customXml" ds:itemID="{55C71C9B-5B53-4CCB-8586-16E073E8EBF3}">
  <ds:schemaRefs/>
</ds:datastoreItem>
</file>

<file path=customXml/itemProps20.xml><?xml version="1.0" encoding="utf-8"?>
<ds:datastoreItem xmlns:ds="http://schemas.openxmlformats.org/officeDocument/2006/customXml" ds:itemID="{9DC72CBD-2907-4524-BB75-3BF9323A466E}">
  <ds:schemaRefs/>
</ds:datastoreItem>
</file>

<file path=customXml/itemProps21.xml><?xml version="1.0" encoding="utf-8"?>
<ds:datastoreItem xmlns:ds="http://schemas.openxmlformats.org/officeDocument/2006/customXml" ds:itemID="{A58B3D32-C794-42C1-BDC1-183FB2C3EFF1}">
  <ds:schemaRefs/>
</ds:datastoreItem>
</file>

<file path=customXml/itemProps22.xml><?xml version="1.0" encoding="utf-8"?>
<ds:datastoreItem xmlns:ds="http://schemas.openxmlformats.org/officeDocument/2006/customXml" ds:itemID="{B9138238-367D-4FA8-A9CF-453A3A7CDDF9}">
  <ds:schemaRefs/>
</ds:datastoreItem>
</file>

<file path=customXml/itemProps23.xml><?xml version="1.0" encoding="utf-8"?>
<ds:datastoreItem xmlns:ds="http://schemas.openxmlformats.org/officeDocument/2006/customXml" ds:itemID="{A63F172F-B68A-4CB9-9499-BF41D63CB9D9}">
  <ds:schemaRefs/>
</ds:datastoreItem>
</file>

<file path=customXml/itemProps24.xml><?xml version="1.0" encoding="utf-8"?>
<ds:datastoreItem xmlns:ds="http://schemas.openxmlformats.org/officeDocument/2006/customXml" ds:itemID="{A06CCF3E-8424-47F0-B2F8-4F288F50A30A}">
  <ds:schemaRefs/>
</ds:datastoreItem>
</file>

<file path=customXml/itemProps25.xml><?xml version="1.0" encoding="utf-8"?>
<ds:datastoreItem xmlns:ds="http://schemas.openxmlformats.org/officeDocument/2006/customXml" ds:itemID="{C1D2583A-6B59-491D-8F4B-1C159EED03F3}">
  <ds:schemaRefs/>
</ds:datastoreItem>
</file>

<file path=customXml/itemProps26.xml><?xml version="1.0" encoding="utf-8"?>
<ds:datastoreItem xmlns:ds="http://schemas.openxmlformats.org/officeDocument/2006/customXml" ds:itemID="{43318B9C-2B19-47D1-B7DE-81838881DFEF}">
  <ds:schemaRefs/>
</ds:datastoreItem>
</file>

<file path=customXml/itemProps27.xml><?xml version="1.0" encoding="utf-8"?>
<ds:datastoreItem xmlns:ds="http://schemas.openxmlformats.org/officeDocument/2006/customXml" ds:itemID="{9ECDE24B-158A-48B2-9B94-A11CC6980E08}">
  <ds:schemaRefs/>
</ds:datastoreItem>
</file>

<file path=customXml/itemProps28.xml><?xml version="1.0" encoding="utf-8"?>
<ds:datastoreItem xmlns:ds="http://schemas.openxmlformats.org/officeDocument/2006/customXml" ds:itemID="{564006BC-3620-4B51-B133-6706A50D8FE3}">
  <ds:schemaRefs/>
</ds:datastoreItem>
</file>

<file path=customXml/itemProps29.xml><?xml version="1.0" encoding="utf-8"?>
<ds:datastoreItem xmlns:ds="http://schemas.openxmlformats.org/officeDocument/2006/customXml" ds:itemID="{C83CDFAD-3D8A-4F0D-B9A5-F1AE83D697AB}">
  <ds:schemaRefs/>
</ds:datastoreItem>
</file>

<file path=customXml/itemProps30.xml><?xml version="1.0" encoding="utf-8"?>
<ds:datastoreItem xmlns:ds="http://schemas.openxmlformats.org/officeDocument/2006/customXml" ds:itemID="{116D2143-5D80-4D15-86DC-E94C341E8D76}">
  <ds:schemaRefs/>
</ds:datastoreItem>
</file>

<file path=customXml/itemProps31.xml><?xml version="1.0" encoding="utf-8"?>
<ds:datastoreItem xmlns:ds="http://schemas.openxmlformats.org/officeDocument/2006/customXml" ds:itemID="{C0C92161-841F-474F-8F57-8015F5E3D2FA}">
  <ds:schemaRefs/>
</ds:datastoreItem>
</file>

<file path=customXml/itemProps32.xml><?xml version="1.0" encoding="utf-8"?>
<ds:datastoreItem xmlns:ds="http://schemas.openxmlformats.org/officeDocument/2006/customXml" ds:itemID="{0017E6A2-464F-40C3-8A57-AA0D3B9100EF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C4A11648-4F96-4A05-A8B2-C1C4120A1BA7}">
  <ds:schemaRefs/>
</ds:datastoreItem>
</file>

<file path=customXml/itemProps34.xml><?xml version="1.0" encoding="utf-8"?>
<ds:datastoreItem xmlns:ds="http://schemas.openxmlformats.org/officeDocument/2006/customXml" ds:itemID="{5F44E334-9428-4115-A8B1-B57A1F3F86FA}">
  <ds:schemaRefs/>
</ds:datastoreItem>
</file>

<file path=customXml/itemProps35.xml><?xml version="1.0" encoding="utf-8"?>
<ds:datastoreItem xmlns:ds="http://schemas.openxmlformats.org/officeDocument/2006/customXml" ds:itemID="{214B7A9E-ABC1-4CCA-88B8-B78FF2FD0E4F}">
  <ds:schemaRefs/>
</ds:datastoreItem>
</file>

<file path=customXml/itemProps36.xml><?xml version="1.0" encoding="utf-8"?>
<ds:datastoreItem xmlns:ds="http://schemas.openxmlformats.org/officeDocument/2006/customXml" ds:itemID="{EB3AE642-80DB-4307-9E51-6BF285D3D367}">
  <ds:schemaRefs/>
</ds:datastoreItem>
</file>

<file path=customXml/itemProps37.xml><?xml version="1.0" encoding="utf-8"?>
<ds:datastoreItem xmlns:ds="http://schemas.openxmlformats.org/officeDocument/2006/customXml" ds:itemID="{95FB2A54-1282-4DD3-9624-71D11ED2644B}">
  <ds:schemaRefs/>
</ds:datastoreItem>
</file>

<file path=customXml/itemProps38.xml><?xml version="1.0" encoding="utf-8"?>
<ds:datastoreItem xmlns:ds="http://schemas.openxmlformats.org/officeDocument/2006/customXml" ds:itemID="{96528A9D-6D86-44BA-BE44-1480C9D7302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Estadistica_Descriptiva</vt:lpstr>
      <vt:lpstr>Hoja1</vt:lpstr>
      <vt:lpstr>TD_Dashboard</vt:lpstr>
      <vt:lpstr>Dashboard Final</vt:lpstr>
      <vt:lpstr>Resumen del escenario</vt:lpstr>
      <vt:lpstr>Simulacion_Financiera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German Agustin Solis</dc:creator>
  <cp:lastModifiedBy>German Agustin Solis</cp:lastModifiedBy>
  <dcterms:created xsi:type="dcterms:W3CDTF">2026-09-15T18:37:29Z</dcterms:created>
  <dcterms:modified xsi:type="dcterms:W3CDTF">2026-09-23T13:20:05Z</dcterms:modified>
</cp:coreProperties>
</file>