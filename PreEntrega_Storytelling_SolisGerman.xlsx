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3elk\Documents\Data Analisys\Excel\Trabajo N9\"/>
    </mc:Choice>
  </mc:AlternateContent>
  <xr:revisionPtr revIDLastSave="0" documentId="13_ncr:1_{7BD859E1-00CD-4E4B-B9A3-F1EB47FCD667}" xr6:coauthVersionLast="47" xr6:coauthVersionMax="47" xr10:uidLastSave="{00000000-0000-0000-0000-000000000000}"/>
  <bookViews>
    <workbookView xWindow="-108" yWindow="-108" windowWidth="23256" windowHeight="12456" activeTab="2" xr2:uid="{3BF89696-605B-4093-A45A-3E0A029B0FE4}"/>
  </bookViews>
  <sheets>
    <sheet name="Estadistica_Descriptiva" sheetId="1" r:id="rId1"/>
    <sheet name="TD_Dashboard" sheetId="7" r:id="rId2"/>
    <sheet name="Dashboard Final" sheetId="8" r:id="rId3"/>
    <sheet name="Resumen del escenario" sheetId="6" r:id="rId4"/>
    <sheet name="Simulacion_Financiera" sheetId="4" r:id="rId5"/>
  </sheets>
  <calcPr calcId="191029"/>
  <pivotCaches>
    <pivotCache cacheId="67" r:id="rId6"/>
    <pivotCache cacheId="68" r:id="rId7"/>
    <pivotCache cacheId="8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01 Retail Inventory  1_ac16737d-260e-4cbe-b3ac-34b5789a2f62" name="01 Retail Inventory  1" connection="Consulta - 01 Retail Inventory (1)"/>
          <x15:modelTable id="Dim_Categoria_0b29a164-d700-4325-b1cb-14c346ec59c7" name="Dim_Categoria" connection="Consulta - Dim_Categoria"/>
          <x15:modelTable id="Dim_Proveedor_10e940ea-f33b-490d-9e8d-0b1974cdae3e" name="Dim_Proveedor" connection="Consulta - Dim_Proveedor"/>
          <x15:modelTable id="Fact_Inventario_5289ba60-1dbe-469b-8896-994e4105040d" name="Fact_Inventario" connection="Consulta - Fact_Inventario"/>
        </x15:modelTables>
        <x15:modelRelationships>
          <x15:modelRelationship fromTable="Fact_Inventario" fromColumn="ID_Categoria" toTable="Dim_Categoria" toColumn="ID_Categoria"/>
          <x15:modelRelationship fromTable="Fact_Inventario" fromColumn="ID_Proveedor" toTable="Dim_Proveedor" toColumn="ID_Proveedo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4" l="1"/>
  <c r="B6" i="4"/>
  <c r="A5" i="8"/>
  <c r="C5" i="8"/>
  <c r="E5" i="8"/>
  <c r="B8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328E15-2106-4764-9B8D-A172C53EAAC6}" name="Consulta - 01 Retail Inventory (1)" description="Conexión a la consulta '01 Retail Inventory (1)' en el libro." type="100" refreshedVersion="8" minRefreshableVersion="5">
    <extLst>
      <ext xmlns:x15="http://schemas.microsoft.com/office/spreadsheetml/2010/11/main" uri="{DE250136-89BD-433C-8126-D09CA5730AF9}">
        <x15:connection id="b832eefb-d997-4953-ba54-d87b0c29dc45"/>
      </ext>
    </extLst>
  </connection>
  <connection id="2" xr16:uid="{03C199AA-9310-4FDB-9234-D19439959287}" name="Consulta - Dim_Categoria" description="Conexión a la consulta 'Dim_Categoria' en el libro." type="100" refreshedVersion="8" minRefreshableVersion="5">
    <extLst>
      <ext xmlns:x15="http://schemas.microsoft.com/office/spreadsheetml/2010/11/main" uri="{DE250136-89BD-433C-8126-D09CA5730AF9}">
        <x15:connection id="cd1c0e8a-a853-40a4-8636-a9df175c1c87"/>
      </ext>
    </extLst>
  </connection>
  <connection id="3" xr16:uid="{DC424733-06D2-41FC-9851-66945F3AF450}" name="Consulta - Dim_Proveedor" description="Conexión a la consulta 'Dim_Proveedor' en el libro." type="100" refreshedVersion="8" minRefreshableVersion="5">
    <extLst>
      <ext xmlns:x15="http://schemas.microsoft.com/office/spreadsheetml/2010/11/main" uri="{DE250136-89BD-433C-8126-D09CA5730AF9}">
        <x15:connection id="8205f4bc-1135-4538-99dd-0c066cc388cb"/>
      </ext>
    </extLst>
  </connection>
  <connection id="4" xr16:uid="{E44C71EF-3E3A-42F2-B196-88A85BC67F40}" name="Consulta - Fact_Inventario" description="Conexión a la consulta 'Fact_Inventario' en el libro." type="100" refreshedVersion="8" minRefreshableVersion="5">
    <extLst>
      <ext xmlns:x15="http://schemas.microsoft.com/office/spreadsheetml/2010/11/main" uri="{DE250136-89BD-433C-8126-D09CA5730AF9}">
        <x15:connection id="0b7cb87b-81c2-4f5e-b277-e952ebc16952"/>
      </ext>
    </extLst>
  </connection>
  <connection id="5" xr16:uid="{7A2E8EB1-F2F4-41A0-8BCB-6673A6BD5C15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<sst xmlns="http://schemas.openxmlformats.org/spreadsheetml/2006/main" count="68" uniqueCount="49">
  <si>
    <t>Unidades vendidas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</si>
  <si>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</si>
  <si>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</si>
  <si>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</si>
  <si>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</si>
  <si>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</si>
  <si>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</si>
  <si>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</si>
  <si>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</si>
  <si>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</si>
  <si>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</si>
  <si>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</si>
  <si>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</si>
  <si>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</si>
  <si>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Concepto</t>
  </si>
  <si>
    <t>Valor</t>
  </si>
  <si>
    <t>Unidades Vendidas</t>
  </si>
  <si>
    <t>Precio Promedio ($)</t>
  </si>
  <si>
    <t>Costo Promedio ($)</t>
  </si>
  <si>
    <t>Variación de Costos (%)</t>
  </si>
  <si>
    <t>Ingresos Totales</t>
  </si>
  <si>
    <t>Costos Totales</t>
  </si>
  <si>
    <t>Beneficio Neto</t>
  </si>
  <si>
    <t>Base</t>
  </si>
  <si>
    <t>Creado por German Agustin Solis el 15/9/2026</t>
  </si>
  <si>
    <t>Pesimista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</si>
  <si>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</si>
  <si>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</si>
  <si>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</si>
  <si>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</si>
  <si>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</si>
  <si>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</si>
  <si>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</si>
  <si>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</si>
  <si>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Creado por German Agustin Solis el 15/9/2026
Modificado por German Agustin Solis el 15/9/2026</t>
  </si>
  <si>
    <t>Etiquetas de fila</t>
  </si>
  <si>
    <t>Total general</t>
  </si>
  <si>
    <t>Total Ventas</t>
  </si>
  <si>
    <t>Margen Neto</t>
  </si>
  <si>
    <t>% Margen Ganancia</t>
  </si>
  <si>
    <t>Belleza</t>
  </si>
  <si>
    <t>Comestibles</t>
  </si>
  <si>
    <t>Deportes y aire libre</t>
  </si>
  <si>
    <t>Electrónica</t>
  </si>
  <si>
    <t>Hogar y cocina</t>
  </si>
  <si>
    <t>Juguetes y juegos</t>
  </si>
  <si>
    <t>Ropa</t>
  </si>
  <si>
    <t>Suministros de oficina</t>
  </si>
  <si>
    <t>Suma de 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</si>
</sst>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0.000"/>
    <numFmt numFmtId="165" formatCode="0.0"/>
    <numFmt numFmtId="166" formatCode="0.0000"/>
    <numFmt numFmtId="167" formatCode="&quot;$&quot;#,##0.00"/>
    <numFmt numFmtId="168" formatCode="0.0%"/>
    <numFmt numFmtId="169" formatCode="\$\ #,##0.00;\-\$\ #,##0.00;\$\ #,##0.00"/>
    <numFmt numFmtId="170" formatCode="0.00\ %;\-0.00\ %;0.00\ 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i/>
      <sz val="11"/>
      <color rgb="FFFFFFFF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1"/>
      <color theme="1"/>
      <name val="Aptos"/>
      <family val="2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D1D5DB"/>
      </right>
      <top style="thin">
        <color rgb="FFE5E7EB"/>
      </top>
      <bottom/>
      <diagonal/>
    </border>
    <border>
      <left style="thin">
        <color rgb="FFD1D5DB"/>
      </left>
      <right style="thin">
        <color rgb="FFE5E7EB"/>
      </right>
      <top style="double">
        <color rgb="FF548235"/>
      </top>
      <bottom style="thin">
        <color rgb="FFD1D5DB"/>
      </bottom>
      <diagonal/>
    </border>
    <border>
      <left style="thin">
        <color rgb="FFE5E7EB"/>
      </left>
      <right style="thin">
        <color rgb="FFD1D5DB"/>
      </right>
      <top style="double">
        <color rgb="FF548235"/>
      </top>
      <bottom style="thin">
        <color rgb="FFD1D5DB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2" fillId="10" borderId="0" applyNumberFormat="0" applyBorder="0" applyAlignment="0" applyProtection="0"/>
  </cellStyleXfs>
  <cellXfs count="63">
    <xf numFmtId="0" fontId="0" fillId="0" borderId="0" xfId="0"/>
    <xf numFmtId="0" fontId="0" fillId="0" borderId="3" xfId="0" applyBorder="1"/>
    <xf numFmtId="0" fontId="2" fillId="2" borderId="0" xfId="0" applyFont="1" applyFill="1"/>
    <xf numFmtId="0" fontId="3" fillId="2" borderId="4" xfId="0" applyFont="1" applyFill="1" applyBorder="1" applyAlignment="1">
      <alignment horizontal="centerContinuous"/>
    </xf>
    <xf numFmtId="1" fontId="0" fillId="0" borderId="0" xfId="0" applyNumberFormat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2" xfId="0" applyFont="1" applyFill="1" applyBorder="1" applyAlignment="1">
      <alignment horizontal="left"/>
    </xf>
    <xf numFmtId="2" fontId="0" fillId="3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right"/>
    </xf>
    <xf numFmtId="1" fontId="0" fillId="3" borderId="0" xfId="0" applyNumberFormat="1" applyFill="1" applyAlignment="1">
      <alignment horizontal="right"/>
    </xf>
    <xf numFmtId="166" fontId="0" fillId="3" borderId="0" xfId="0" applyNumberFormat="1" applyFill="1" applyAlignment="1">
      <alignment horizontal="right"/>
    </xf>
    <xf numFmtId="3" fontId="0" fillId="3" borderId="0" xfId="0" applyNumberFormat="1" applyFill="1" applyAlignment="1">
      <alignment horizontal="right"/>
    </xf>
    <xf numFmtId="1" fontId="0" fillId="3" borderId="2" xfId="0" applyNumberFormat="1" applyFill="1" applyBorder="1" applyAlignment="1">
      <alignment horizontal="right"/>
    </xf>
    <xf numFmtId="0" fontId="5" fillId="4" borderId="7" xfId="0" applyFont="1" applyFill="1" applyBorder="1"/>
    <xf numFmtId="1" fontId="4" fillId="0" borderId="9" xfId="0" applyNumberFormat="1" applyFont="1" applyBorder="1" applyAlignment="1">
      <alignment horizontal="right"/>
    </xf>
    <xf numFmtId="167" fontId="4" fillId="0" borderId="9" xfId="0" applyNumberFormat="1" applyFont="1" applyBorder="1" applyAlignment="1">
      <alignment horizontal="right"/>
    </xf>
    <xf numFmtId="167" fontId="4" fillId="5" borderId="9" xfId="0" applyNumberFormat="1" applyFont="1" applyFill="1" applyBorder="1" applyAlignment="1">
      <alignment horizontal="right"/>
    </xf>
    <xf numFmtId="167" fontId="4" fillId="5" borderId="11" xfId="0" applyNumberFormat="1" applyFont="1" applyFill="1" applyBorder="1" applyAlignment="1">
      <alignment horizontal="right"/>
    </xf>
    <xf numFmtId="167" fontId="6" fillId="6" borderId="13" xfId="0" applyNumberFormat="1" applyFont="1" applyFill="1" applyBorder="1" applyAlignment="1">
      <alignment horizontal="right"/>
    </xf>
    <xf numFmtId="0" fontId="5" fillId="4" borderId="6" xfId="0" applyFont="1" applyFill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0" fontId="6" fillId="6" borderId="12" xfId="0" applyFont="1" applyFill="1" applyBorder="1" applyAlignment="1">
      <alignment horizontal="left"/>
    </xf>
    <xf numFmtId="168" fontId="4" fillId="0" borderId="9" xfId="0" quotePrefix="1" applyNumberFormat="1" applyFont="1" applyBorder="1" applyAlignment="1">
      <alignment horizontal="right"/>
    </xf>
    <xf numFmtId="168" fontId="0" fillId="0" borderId="0" xfId="0" applyNumberFormat="1"/>
    <xf numFmtId="167" fontId="0" fillId="0" borderId="2" xfId="0" applyNumberFormat="1" applyBorder="1"/>
    <xf numFmtId="0" fontId="7" fillId="7" borderId="5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0" fontId="9" fillId="8" borderId="3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right"/>
    </xf>
    <xf numFmtId="0" fontId="10" fillId="7" borderId="5" xfId="0" applyFont="1" applyFill="1" applyBorder="1" applyAlignment="1">
      <alignment horizontal="right"/>
    </xf>
    <xf numFmtId="168" fontId="0" fillId="9" borderId="0" xfId="0" applyNumberFormat="1" applyFill="1"/>
    <xf numFmtId="0" fontId="11" fillId="0" borderId="0" xfId="0" applyFont="1" applyAlignment="1">
      <alignment vertical="top" wrapText="1"/>
    </xf>
    <xf numFmtId="0" fontId="8" fillId="8" borderId="14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0" fillId="11" borderId="0" xfId="0" applyFill="1"/>
    <xf numFmtId="0" fontId="0" fillId="12" borderId="0" xfId="0" applyFill="1"/>
    <xf numFmtId="169" fontId="0" fillId="12" borderId="0" xfId="0" applyNumberFormat="1" applyFill="1"/>
    <xf numFmtId="170" fontId="0" fillId="12" borderId="0" xfId="0" applyNumberFormat="1" applyFill="1"/>
    <xf numFmtId="0" fontId="0" fillId="12" borderId="0" xfId="0" applyFill="1" applyAlignment="1">
      <alignment horizontal="left"/>
    </xf>
    <xf numFmtId="0" fontId="0" fillId="12" borderId="0" xfId="0" applyNumberFormat="1" applyFill="1"/>
    <xf numFmtId="0" fontId="12" fillId="10" borderId="24" xfId="1" applyBorder="1" applyAlignment="1">
      <alignment horizontal="center" vertical="center"/>
    </xf>
    <xf numFmtId="0" fontId="12" fillId="10" borderId="15" xfId="1" applyBorder="1" applyAlignment="1">
      <alignment horizontal="center" vertical="center"/>
    </xf>
    <xf numFmtId="0" fontId="12" fillId="10" borderId="16" xfId="1" applyBorder="1" applyAlignment="1">
      <alignment horizontal="center" vertical="center"/>
    </xf>
    <xf numFmtId="0" fontId="12" fillId="10" borderId="23" xfId="1" applyBorder="1" applyAlignment="1">
      <alignment horizontal="center" vertical="center"/>
    </xf>
    <xf numFmtId="44" fontId="12" fillId="10" borderId="30" xfId="1" applyNumberFormat="1" applyBorder="1" applyAlignment="1">
      <alignment horizontal="center" vertical="center"/>
    </xf>
    <xf numFmtId="44" fontId="12" fillId="10" borderId="17" xfId="1" applyNumberFormat="1" applyBorder="1" applyAlignment="1">
      <alignment horizontal="center" vertical="center"/>
    </xf>
    <xf numFmtId="44" fontId="12" fillId="10" borderId="18" xfId="1" applyNumberFormat="1" applyBorder="1" applyAlignment="1">
      <alignment horizontal="center" vertical="center"/>
    </xf>
    <xf numFmtId="10" fontId="12" fillId="10" borderId="18" xfId="1" applyNumberFormat="1" applyBorder="1" applyAlignment="1">
      <alignment horizontal="center" vertical="center"/>
    </xf>
    <xf numFmtId="10" fontId="12" fillId="10" borderId="25" xfId="1" applyNumberFormat="1" applyBorder="1" applyAlignment="1">
      <alignment horizontal="center" vertical="center"/>
    </xf>
    <xf numFmtId="44" fontId="12" fillId="10" borderId="19" xfId="1" applyNumberFormat="1" applyBorder="1" applyAlignment="1">
      <alignment horizontal="center" vertical="center"/>
    </xf>
    <xf numFmtId="44" fontId="12" fillId="10" borderId="28" xfId="1" applyNumberFormat="1" applyBorder="1" applyAlignment="1">
      <alignment horizontal="center" vertical="center"/>
    </xf>
    <xf numFmtId="44" fontId="12" fillId="10" borderId="26" xfId="1" applyNumberFormat="1" applyBorder="1" applyAlignment="1">
      <alignment horizontal="center" vertical="center"/>
    </xf>
    <xf numFmtId="10" fontId="12" fillId="10" borderId="26" xfId="1" applyNumberFormat="1" applyBorder="1" applyAlignment="1">
      <alignment horizontal="center" vertical="center"/>
    </xf>
    <xf numFmtId="10" fontId="12" fillId="10" borderId="20" xfId="1" applyNumberFormat="1" applyBorder="1" applyAlignment="1">
      <alignment horizontal="center" vertical="center"/>
    </xf>
    <xf numFmtId="44" fontId="12" fillId="10" borderId="21" xfId="1" applyNumberFormat="1" applyBorder="1" applyAlignment="1">
      <alignment horizontal="center" vertical="center"/>
    </xf>
    <xf numFmtId="44" fontId="12" fillId="10" borderId="29" xfId="1" applyNumberFormat="1" applyBorder="1" applyAlignment="1">
      <alignment horizontal="center" vertical="center"/>
    </xf>
    <xf numFmtId="44" fontId="12" fillId="10" borderId="27" xfId="1" applyNumberFormat="1" applyBorder="1" applyAlignment="1">
      <alignment horizontal="center" vertical="center"/>
    </xf>
    <xf numFmtId="10" fontId="12" fillId="10" borderId="27" xfId="1" applyNumberFormat="1" applyBorder="1" applyAlignment="1">
      <alignment horizontal="center" vertical="center"/>
    </xf>
    <xf numFmtId="10" fontId="12" fillId="10" borderId="22" xfId="1" applyNumberFormat="1" applyBorder="1" applyAlignment="1">
      <alignment horizontal="center" vertical="center"/>
    </xf>
  </cellXfs>
  <cellStyles count="2">
    <cellStyle name="20% - Énfasis1" xfId="1" builtinId="30"/>
    <cellStyle name="Normal" xfId="0" builtinId="0"/>
  </cellStyles>
  <dxfs count="30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42" Type="http://schemas.openxmlformats.org/officeDocument/2006/relationships/customXml" Target="../customXml/item28.xml"/><Relationship Id="rId47" Type="http://schemas.openxmlformats.org/officeDocument/2006/relationships/customXml" Target="../customXml/item33.xml"/><Relationship Id="rId50" Type="http://schemas.openxmlformats.org/officeDocument/2006/relationships/customXml" Target="../customXml/item36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9" Type="http://schemas.openxmlformats.org/officeDocument/2006/relationships/customXml" Target="../customXml/item15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45" Type="http://schemas.openxmlformats.org/officeDocument/2006/relationships/customXml" Target="../customXml/item3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49" Type="http://schemas.openxmlformats.org/officeDocument/2006/relationships/customXml" Target="../customXml/item3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4" Type="http://schemas.openxmlformats.org/officeDocument/2006/relationships/customXml" Target="../customXml/item30.xml"/><Relationship Id="rId52" Type="http://schemas.openxmlformats.org/officeDocument/2006/relationships/customXml" Target="../customXml/item3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43" Type="http://schemas.openxmlformats.org/officeDocument/2006/relationships/customXml" Target="../customXml/item29.xml"/><Relationship Id="rId48" Type="http://schemas.openxmlformats.org/officeDocument/2006/relationships/customXml" Target="../customXml/item34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37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46" Type="http://schemas.openxmlformats.org/officeDocument/2006/relationships/customXml" Target="../customXml/item32.xml"/><Relationship Id="rId20" Type="http://schemas.openxmlformats.org/officeDocument/2006/relationships/customXml" Target="../customXml/item6.xml"/><Relationship Id="rId41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[PreEntrega_Storytelling_SolisGerman.xlsx]TD_Dashboard!TablaDinámica5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Electrónica lidera las ventas y aporta el mayor margen neto del negocio</a:t>
            </a:r>
            <a:endParaRPr lang="es-AR"/>
          </a:p>
        </c:rich>
      </c:tx>
      <c:layout>
        <c:manualLayout>
          <c:xMode val="edge"/>
          <c:yMode val="edge"/>
          <c:x val="0.23868159203980099"/>
          <c:y val="4.83560400928461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0566711705415"/>
          <c:y val="0.13835857524769959"/>
          <c:w val="0.70570827315224649"/>
          <c:h val="0.509944827082229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TD_Dashboard!$B$6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TD_Dashboard!$A$7:$A$15</c:f>
              <c:strCache>
                <c:ptCount val="8"/>
                <c:pt idx="0">
                  <c:v>Belleza</c:v>
                </c:pt>
                <c:pt idx="1">
                  <c:v>Comestibles</c:v>
                </c:pt>
                <c:pt idx="2">
                  <c:v>Deportes y aire libre</c:v>
                </c:pt>
                <c:pt idx="3">
                  <c:v>Electrónica</c:v>
                </c:pt>
                <c:pt idx="4">
                  <c:v>Hogar y cocina</c:v>
                </c:pt>
                <c:pt idx="5">
                  <c:v>Juguetes y juegos</c:v>
                </c:pt>
                <c:pt idx="6">
                  <c:v>Ropa</c:v>
                </c:pt>
                <c:pt idx="7">
                  <c:v>Suministros de oficina</c:v>
                </c:pt>
              </c:strCache>
            </c:strRef>
          </c:cat>
          <c:val>
            <c:numRef>
              <c:f>TD_Dashboard!$B$7:$B$15</c:f>
              <c:numCache>
                <c:formatCode>\$\ #,##0.00;\-\$\ #,##0.00;\$\ #,##0.00</c:formatCode>
                <c:ptCount val="8"/>
                <c:pt idx="0">
                  <c:v>354847.88999999996</c:v>
                </c:pt>
                <c:pt idx="1">
                  <c:v>179144.21999999994</c:v>
                </c:pt>
                <c:pt idx="2">
                  <c:v>393756.54999999987</c:v>
                </c:pt>
                <c:pt idx="3">
                  <c:v>1238469.79</c:v>
                </c:pt>
                <c:pt idx="4">
                  <c:v>468877.88</c:v>
                </c:pt>
                <c:pt idx="5">
                  <c:v>500748.5799999999</c:v>
                </c:pt>
                <c:pt idx="6">
                  <c:v>473433.52</c:v>
                </c:pt>
                <c:pt idx="7">
                  <c:v>222270.56999999995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D-4FF6-A635-D825A3FA0BE3}"/>
            </c:ext>
          </c:extLst>
        </c:ser>
        <c:ser>
          <c:idx val="1"/>
          <c:order val="1"/>
          <c:tx>
            <c:strRef>
              <c:f>TD_Dashboard!$C$6</c:f>
              <c:strCache>
                <c:ptCount val="1"/>
                <c:pt idx="0">
                  <c:v>Margen Neto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TD_Dashboard!$A$7:$A$15</c:f>
              <c:strCache>
                <c:ptCount val="8"/>
                <c:pt idx="0">
                  <c:v>Belleza</c:v>
                </c:pt>
                <c:pt idx="1">
                  <c:v>Comestibles</c:v>
                </c:pt>
                <c:pt idx="2">
                  <c:v>Deportes y aire libre</c:v>
                </c:pt>
                <c:pt idx="3">
                  <c:v>Electrónica</c:v>
                </c:pt>
                <c:pt idx="4">
                  <c:v>Hogar y cocina</c:v>
                </c:pt>
                <c:pt idx="5">
                  <c:v>Juguetes y juegos</c:v>
                </c:pt>
                <c:pt idx="6">
                  <c:v>Ropa</c:v>
                </c:pt>
                <c:pt idx="7">
                  <c:v>Suministros de oficina</c:v>
                </c:pt>
              </c:strCache>
            </c:strRef>
          </c:cat>
          <c:val>
            <c:numRef>
              <c:f>TD_Dashboard!$C$7:$C$15</c:f>
              <c:numCache>
                <c:formatCode>\$\ #,##0.00;\-\$\ #,##0.00;\$\ #,##0.00</c:formatCode>
                <c:ptCount val="8"/>
                <c:pt idx="0">
                  <c:v>152908.62999999992</c:v>
                </c:pt>
                <c:pt idx="1">
                  <c:v>72589.409999999974</c:v>
                </c:pt>
                <c:pt idx="2">
                  <c:v>165803.36999999985</c:v>
                </c:pt>
                <c:pt idx="3">
                  <c:v>522114.46999999986</c:v>
                </c:pt>
                <c:pt idx="4">
                  <c:v>196571.87</c:v>
                </c:pt>
                <c:pt idx="5">
                  <c:v>217310.89999999991</c:v>
                </c:pt>
                <c:pt idx="6">
                  <c:v>204569.77000000014</c:v>
                </c:pt>
                <c:pt idx="7">
                  <c:v>99303.019999999975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D-4FF6-A635-D825A3FA0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833856"/>
        <c:axId val="892976559"/>
      </c:barChart>
      <c:catAx>
        <c:axId val="10598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92976559"/>
        <c:crosses val="autoZero"/>
        <c:auto val="1"/>
        <c:lblAlgn val="ctr"/>
        <c:lblOffset val="100"/>
        <c:noMultiLvlLbl val="0"/>
      </c:catAx>
      <c:valAx>
        <c:axId val="89297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.00;\-\$\ #,##0.00;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598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[PreEntrega_Storytelling_SolisGerman.xlsx]TD_Dashboard!TablaDinámica6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Estabilidad en la rotación de unidades con un pico de demanda en Juguetes y Juegos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TD_Dashboard!$F$6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TD_Dashboard!$E$7:$E$15</c:f>
              <c:strCache>
                <c:ptCount val="8"/>
                <c:pt idx="0">
                  <c:v>Belleza</c:v>
                </c:pt>
                <c:pt idx="1">
                  <c:v>Comestibles</c:v>
                </c:pt>
                <c:pt idx="2">
                  <c:v>Deportes y aire libre</c:v>
                </c:pt>
                <c:pt idx="3">
                  <c:v>Electrónica</c:v>
                </c:pt>
                <c:pt idx="4">
                  <c:v>Hogar y cocina</c:v>
                </c:pt>
                <c:pt idx="5">
                  <c:v>Juguetes y juegos</c:v>
                </c:pt>
                <c:pt idx="6">
                  <c:v>Ropa</c:v>
                </c:pt>
                <c:pt idx="7">
                  <c:v>Suministros de oficina</c:v>
                </c:pt>
              </c:strCache>
            </c:strRef>
          </c:cat>
          <c:val>
            <c:numRef>
              <c:f>TD_Dashboard!$F$7:$F$15</c:f>
              <c:numCache>
                <c:formatCode>General</c:formatCode>
                <c:ptCount val="8"/>
                <c:pt idx="0">
                  <c:v>18137</c:v>
                </c:pt>
                <c:pt idx="1">
                  <c:v>15364</c:v>
                </c:pt>
                <c:pt idx="2">
                  <c:v>16979</c:v>
                </c:pt>
                <c:pt idx="3">
                  <c:v>17621</c:v>
                </c:pt>
                <c:pt idx="4">
                  <c:v>18387</c:v>
                </c:pt>
                <c:pt idx="5">
                  <c:v>19704</c:v>
                </c:pt>
                <c:pt idx="6">
                  <c:v>13736</c:v>
                </c:pt>
                <c:pt idx="7">
                  <c:v>17112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1-4B43-AFE2-AA8DFB3B0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0034431"/>
        <c:axId val="892913679"/>
      </c:lineChart>
      <c:catAx>
        <c:axId val="183003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92913679"/>
        <c:crosses val="autoZero"/>
        <c:auto val="1"/>
        <c:lblAlgn val="ctr"/>
        <c:lblOffset val="100"/>
        <c:noMultiLvlLbl val="0"/>
      </c:catAx>
      <c:valAx>
        <c:axId val="89291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3003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76200</xdr:rowOff>
    </xdr:from>
    <xdr:to>
      <xdr:col>5</xdr:col>
      <xdr:colOff>92612</xdr:colOff>
      <xdr:row>2</xdr:row>
      <xdr:rowOff>38686</xdr:rowOff>
    </xdr:to>
    <xdr:sp macro="" textlink="">
      <xdr:nvSpPr>
        <xdr:cNvPr id="2" name="Rectángulo: esquinas diagonales redondeadas 1">
          <a:extLst>
            <a:ext uri="{FF2B5EF4-FFF2-40B4-BE49-F238E27FC236}">
              <a16:creationId xmlns:a16="http://schemas.microsoft.com/office/drawing/2014/main" id="{60487C1C-5FF9-4D9D-BA5D-97E2DFBF5134}"/>
            </a:ext>
          </a:extLst>
        </xdr:cNvPr>
        <xdr:cNvSpPr/>
      </xdr:nvSpPr>
      <xdr:spPr>
        <a:xfrm>
          <a:off x="45720" y="76200"/>
          <a:ext cx="4009292" cy="328246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1">
              <a:solidFill>
                <a:schemeClr val="lt1"/>
              </a:solidFill>
              <a:latin typeface="+mn-lt"/>
              <a:ea typeface="+mn-ea"/>
              <a:cs typeface="+mn-cs"/>
            </a:rPr>
            <a:t>     SISTEMA DE INTELIGENCIA DE NEGOCIOS - RETAIL INVENTORY</a:t>
          </a:r>
          <a:r>
            <a:rPr lang="es-AR"/>
            <a:t>. </a:t>
          </a:r>
          <a:endParaRPr lang="es-AR" sz="1100"/>
        </a:p>
      </xdr:txBody>
    </xdr:sp>
    <xdr:clientData/>
  </xdr:twoCellAnchor>
  <xdr:twoCellAnchor>
    <xdr:from>
      <xdr:col>0</xdr:col>
      <xdr:colOff>167640</xdr:colOff>
      <xdr:row>16</xdr:row>
      <xdr:rowOff>76200</xdr:rowOff>
    </xdr:from>
    <xdr:to>
      <xdr:col>11</xdr:col>
      <xdr:colOff>640080</xdr:colOff>
      <xdr:row>33</xdr:row>
      <xdr:rowOff>60959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FA113DF-86AC-4892-A7F4-72C4AD765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320040</xdr:colOff>
      <xdr:row>1</xdr:row>
      <xdr:rowOff>83820</xdr:rowOff>
    </xdr:from>
    <xdr:to>
      <xdr:col>16</xdr:col>
      <xdr:colOff>434340</xdr:colOff>
      <xdr:row>15</xdr:row>
      <xdr:rowOff>83820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44623E-FEB3-4797-9B6F-B3EDC32A0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man Agustin Solis" refreshedDate="46280.849236458336" backgroundQuery="1" createdVersion="8" refreshedVersion="8" minRefreshableVersion="3" recordCount="0" supportSubquery="1" supportAdvancedDrill="1" xr:uid="{65F60500-F75E-462A-B560-B8FB2DF7220D}">
  <cacheSource type="external" connectionId="5"/>
  <cacheFields count="3">
    <cacheField name="[Dim_Categoria].[Categoría].[Categoría]" caption="Categoría" numFmtId="0" level="1">
      <sharedItems count="8">
        <s v="Belleza"/>
        <s v="Comestibles"/>
        <s v="Deportes y aire libre"/>
        <s v="Electrónica"/>
        <s v="Hogar y cocina"/>
        <s v="Juguetes y juegos"/>
        <s v="Ropa"/>
        <s v="Suministros de oficina"/>
      </sharedItems>
    </cacheField>
    <cacheField name="[Measures].[Total Ventas]" caption="Total Ventas" numFmtId="0" hierarchy="26" level="32767"/>
    <cacheField name="[Measures].[Margen Neto]" caption="Margen Neto" numFmtId="0" hierarchy="27" level="32767"/>
  </cacheFields>
  <cacheHierarchies count="35">
    <cacheHierarchy uniqueName="[Dim_Categoria].[Categoría]" caption="Categoría" attribute="1" defaultMemberUniqueName="[Dim_Categoria].[Categoría].[All]" allUniqueName="[Dim_Categoria].[Categoría].[All]" dimensionUniqueName="[Dim_Categoria]" displayFolder="" count="2" memberValueDatatype="130" unbalanced="0">
      <fieldsUsage count="2">
        <fieldUsage x="-1"/>
        <fieldUsage x="0"/>
      </fieldsUsage>
    </cacheHierarchy>
    <cacheHierarchy uniqueName="[Dim_Categoria].[ID_Categoria]" caption="ID_Categoria" attribute="1" defaultMemberUniqueName="[Dim_Categoria].[ID_Categoria].[All]" allUniqueName="[Dim_Categoria].[ID_Categoria].[All]" dimensionUniqueName="[Dim_Categoria]" displayFolder="" count="0" memberValueDatatype="130" unbalanced="0"/>
    <cacheHierarchy uniqueName="[Dim_Proveedor].[ID_Proveedor]" caption="ID_Proveedor" attribute="1" defaultMemberUniqueName="[Dim_Proveedor].[ID_Proveedor].[All]" allUniqueName="[Dim_Proveedor].[ID_Proveedor].[All]" dimensionUniqueName="[Dim_Proveedor]" displayFolder="" count="0" memberValueDatatype="20" unbalanced="0"/>
    <cacheHierarchy uniqueName="[Dim_Proveedor].[Nombre del proveedor]" caption="Nombre del proveedor" attribute="1" defaultMemberUniqueName="[Dim_Proveedor].[Nombre del proveedor].[All]" allUniqueName="[Dim_Proveedor].[Nombre del proveedor].[All]" dimensionUniqueName="[Dim_Proveedor]" displayFolder="" count="0" memberValueDatatype="130" unbalanced="0"/>
    <cacheHierarchy uniqueName="[Fact_Inventario].[Costo unitario]" caption="Costo unitario" attribute="1" defaultMemberUniqueName="[Fact_Inventario].[Costo unitario].[All]" allUniqueName="[Fact_Inventario].[Costo unitario].[All]" dimensionUniqueName="[Fact_Inventario]" displayFolder="" count="0" memberValueDatatype="5" unbalanced="0"/>
    <cacheHierarchy uniqueName="[Fact_Inventario].[Estado del stock]" caption="Estado del stock" attribute="1" defaultMemberUniqueName="[Fact_Inventario].[Estado del stock].[All]" allUniqueName="[Fact_Inventario].[Estado del stock].[All]" dimensionUniqueName="[Fact_Inventario]" displayFolder="" count="0" memberValueDatatype="130" unbalanced="0"/>
    <cacheHierarchy uniqueName="[Fact_Inventario].[ID del producto]" caption="ID del producto" attribute="1" defaultMemberUniqueName="[Fact_Inventario].[ID del producto].[All]" allUniqueName="[Fact_Inventario].[ID del producto].[All]" dimensionUniqueName="[Fact_Inventario]" displayFolder="" count="0" memberValueDatatype="130" unbalanced="0"/>
    <cacheHierarchy uniqueName="[Fact_Inventario].[ID_Categoria]" caption="ID_Categoria" attribute="1" defaultMemberUniqueName="[Fact_Inventario].[ID_Categoria].[All]" allUniqueName="[Fact_Inventario].[ID_Categoria].[All]" dimensionUniqueName="[Fact_Inventario]" displayFolder="" count="0" memberValueDatatype="130" unbalanced="0"/>
    <cacheHierarchy uniqueName="[Fact_Inventario].[ID_Proveedor]" caption="ID_Proveedor" attribute="1" defaultMemberUniqueName="[Fact_Inventario].[ID_Proveedor].[All]" allUniqueName="[Fact_Inventario].[ID_Proveedor].[All]" dimensionUniqueName="[Fact_Inventario]" displayFolder="" count="0" memberValueDatatype="20" unbalanced="0"/>
    <cacheHierarchy uniqueName="[Fact_Inventario].[Nombre del producto]" caption="Nombre del producto" attribute="1" defaultMemberUniqueName="[Fact_Inventario].[Nombre del producto].[All]" allUniqueName="[Fact_Inventario].[Nombre del producto].[All]" dimensionUniqueName="[Fact_Inventario]" displayFolder="" count="0" memberValueDatatype="130" unbalanced="0"/>
    <cacheHierarchy uniqueName="[Fact_Inventario].[Precio minorista]" caption="Precio minorista" attribute="1" defaultMemberUniqueName="[Fact_Inventario].[Precio minorista].[All]" allUniqueName="[Fact_Inventario].[Precio minorista].[All]" dimensionUniqueName="[Fact_Inventario]" displayFolder="" count="0" memberValueDatatype="5" unbalanced="0"/>
    <cacheHierarchy uniqueName="[Fact_Inventario].[Punto de reposición]" caption="Punto de reposición" attribute="1" defaultMemberUniqueName="[Fact_Inventario].[Punto de reposición].[All]" allUniqueName="[Fact_Inventario].[Punto de reposición].[All]" dimensionUniqueName="[Fact_Inventario]" displayFolder="" count="0" memberValueDatatype="20" unbalanced="0"/>
    <cacheHierarchy uniqueName="[Fact_Inventario].[Stock final]" caption="Stock final" attribute="1" defaultMemberUniqueName="[Fact_Inventario].[Stock final].[All]" allUniqueName="[Fact_Inventario].[Stock final].[All]" dimensionUniqueName="[Fact_Inventario]" displayFolder="" count="0" memberValueDatatype="20" unbalanced="0"/>
    <cacheHierarchy uniqueName="[Fact_Inventario].[Stock inicial]" caption="Stock inicial" attribute="1" defaultMemberUniqueName="[Fact_Inventario].[Stock inicial].[All]" allUniqueName="[Fact_Inventario].[Stock inicial].[All]" dimensionUniqueName="[Fact_Inventario]" displayFolder="" count="0" memberValueDatatype="20" unbalanced="0"/>
    <cacheHierarchy uniqueName="[Fact_Inventario].[Unidades vendidas]" caption="Unidades vendidas" attribute="1" defaultMemberUniqueName="[Fact_Inventario].[Unidades vendidas].[All]" allUniqueName="[Fact_Inventario].[Unidades vendidas].[All]" dimensionUniqueName="[Fact_Inventario]" displayFolder="" count="0" memberValueDatatype="20" unbalanced="0"/>
    <cacheHierarchy uniqueName="[01 Retail Inventory  1].[Categoría]" caption="Categoría" attribute="1" defaultMemberUniqueName="[01 Retail Inventory  1].[Categoría].[All]" allUniqueName="[01 Retail Inventory  1].[Categoría].[All]" dimensionUniqueName="[01 Retail Inventory  1]" displayFolder="" count="0" memberValueDatatype="130" unbalanced="0" hidden="1"/>
    <cacheHierarchy uniqueName="[01 Retail Inventory  1].[Costo unitario]" caption="Costo unitario" attribute="1" defaultMemberUniqueName="[01 Retail Inventory  1].[Costo unitario].[All]" allUniqueName="[01 Retail Inventory  1].[Costo unitario].[All]" dimensionUniqueName="[01 Retail Inventory  1]" displayFolder="" count="0" memberValueDatatype="5" unbalanced="0" hidden="1"/>
    <cacheHierarchy uniqueName="[01 Retail Inventory  1].[Estado del stock]" caption="Estado del stock" attribute="1" defaultMemberUniqueName="[01 Retail Inventory  1].[Estado del stock].[All]" allUniqueName="[01 Retail Inventory  1].[Estado del stock].[All]" dimensionUniqueName="[01 Retail Inventory  1]" displayFolder="" count="0" memberValueDatatype="130" unbalanced="0" hidden="1"/>
    <cacheHierarchy uniqueName="[01 Retail Inventory  1].[ID del producto]" caption="ID del producto" attribute="1" defaultMemberUniqueName="[01 Retail Inventory  1].[ID del producto].[All]" allUniqueName="[01 Retail Inventory  1].[ID del producto].[All]" dimensionUniqueName="[01 Retail Inventory  1]" displayFolder="" count="0" memberValueDatatype="130" unbalanced="0" hidden="1"/>
    <cacheHierarchy uniqueName="[01 Retail Inventory  1].[Nombre del producto]" caption="Nombre del producto" attribute="1" defaultMemberUniqueName="[01 Retail Inventory  1].[Nombre del producto].[All]" allUniqueName="[01 Retail Inventory  1].[Nombre del producto].[All]" dimensionUniqueName="[01 Retail Inventory  1]" displayFolder="" count="0" memberValueDatatype="130" unbalanced="0" hidden="1"/>
    <cacheHierarchy uniqueName="[01 Retail Inventory  1].[Nombre del proveedor]" caption="Nombre del proveedor" attribute="1" defaultMemberUniqueName="[01 Retail Inventory  1].[Nombre del proveedor].[All]" allUniqueName="[01 Retail Inventory  1].[Nombre del proveedor].[All]" dimensionUniqueName="[01 Retail Inventory  1]" displayFolder="" count="0" memberValueDatatype="130" unbalanced="0" hidden="1"/>
    <cacheHierarchy uniqueName="[01 Retail Inventory  1].[Precio minorista]" caption="Precio minorista" attribute="1" defaultMemberUniqueName="[01 Retail Inventory  1].[Precio minorista].[All]" allUniqueName="[01 Retail Inventory  1].[Precio minorista].[All]" dimensionUniqueName="[01 Retail Inventory  1]" displayFolder="" count="0" memberValueDatatype="5" unbalanced="0" hidden="1"/>
    <cacheHierarchy uniqueName="[01 Retail Inventory  1].[Punto de reposición]" caption="Punto de reposición" attribute="1" defaultMemberUniqueName="[01 Retail Inventory  1].[Punto de reposición].[All]" allUniqueName="[01 Retail Inventory  1].[Punto de reposición].[All]" dimensionUniqueName="[01 Retail Inventory  1]" displayFolder="" count="0" memberValueDatatype="20" unbalanced="0" hidden="1"/>
    <cacheHierarchy uniqueName="[01 Retail Inventory  1].[Stock final]" caption="Stock final" attribute="1" defaultMemberUniqueName="[01 Retail Inventory  1].[Stock final].[All]" allUniqueName="[01 Retail Inventory  1].[Stock final].[All]" dimensionUniqueName="[01 Retail Inventory  1]" displayFolder="" count="0" memberValueDatatype="20" unbalanced="0" hidden="1"/>
    <cacheHierarchy uniqueName="[01 Retail Inventory  1].[Stock inicial]" caption="Stock inicial" attribute="1" defaultMemberUniqueName="[01 Retail Inventory  1].[Stock inicial].[All]" allUniqueName="[01 Retail Inventory  1].[Stock inicial].[All]" dimensionUniqueName="[01 Retail Inventory  1]" displayFolder="" count="0" memberValueDatatype="20" unbalanced="0" hidden="1"/>
    <cacheHierarchy uniqueName="[01 Retail Inventory  1].[Unidades vendidas]" caption="Unidades vendidas" attribute="1" defaultMemberUniqueName="[01 Retail Inventory  1].[Unidades vendidas].[All]" allUniqueName="[01 Retail Inventory  1].[Unidades vendidas].[All]" dimensionUniqueName="[01 Retail Inventory  1]" displayFolder="" count="0" memberValueDatatype="20" unbalanced="0" hidden="1"/>
    <cacheHierarchy uniqueName="[Measures].[Total Ventas]" caption="Total Ventas" measure="1" displayFolder="" measureGroup="Fact_Inventario" count="0" oneField="1">
      <fieldsUsage count="1">
        <fieldUsage x="1"/>
      </fieldsUsage>
    </cacheHierarchy>
    <cacheHierarchy uniqueName="[Measures].[Margen Neto]" caption="Margen Neto" measure="1" displayFolder="" measureGroup="Fact_Inventario" count="0" oneField="1">
      <fieldsUsage count="1">
        <fieldUsage x="2"/>
      </fieldsUsage>
    </cacheHierarchy>
    <cacheHierarchy uniqueName="[Measures].[% Margen Ganancia]" caption="% Margen Ganancia" measure="1" displayFolder="" measureGroup="Fact_Inventario" count="0"/>
    <cacheHierarchy uniqueName="[Measures].[__XL_Count 01 Retail Inventory  1]" caption="__XL_Count 01 Retail Inventory  1" measure="1" displayFolder="" measureGroup="01 Retail Inventory  1" count="0" hidden="1"/>
    <cacheHierarchy uniqueName="[Measures].[__XL_Count Dim_Categoria]" caption="__XL_Count Dim_Categoria" measure="1" displayFolder="" measureGroup="Dim_Categoria" count="0" hidden="1"/>
    <cacheHierarchy uniqueName="[Measures].[__XL_Count Dim_Proveedor]" caption="__XL_Count Dim_Proveedor" measure="1" displayFolder="" measureGroup="Dim_Proveedor" count="0" hidden="1"/>
    <cacheHierarchy uniqueName="[Measures].[__XL_Count Fact_Inventario]" caption="__XL_Count Fact_Inventario" measure="1" displayFolder="" measureGroup="Fact_Inventario" count="0" hidden="1"/>
    <cacheHierarchy uniqueName="[Measures].[__No measures defined]" caption="__No measures defined" measure="1" displayFolder="" count="0" hidden="1"/>
    <cacheHierarchy uniqueName="[Measures].[Suma de Unidades vendidas]" caption="Suma de Unidades vendidas" measure="1" displayFolder="" measureGroup="Fact_Inventa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Categoria" uniqueName="[Dim_Categoria]" caption="Dim_Categoria"/>
    <dimension name="Dim_Proveedor" uniqueName="[Dim_Proveedor]" caption="Dim_Proveedor"/>
    <dimension name="Fact_Inventario" uniqueName="[Fact_Inventario]" caption="Fact_Inventario"/>
    <dimension measure="1" name="Measures" uniqueName="[Measures]" caption="Measures"/>
  </dimensions>
  <measureGroups count="4">
    <measureGroup name="01 Retail Inventory  1" caption="01 Retail Inventory  1"/>
    <measureGroup name="Dim_Categoria" caption="Dim_Categoria"/>
    <measureGroup name="Dim_Proveedor" caption="Dim_Proveedor"/>
    <measureGroup name="Fact_Inventario" caption="Fact_Inventario"/>
  </measureGroups>
  <maps count="5">
    <map measureGroup="1" dimension="0"/>
    <map measureGroup="2" dimension="1"/>
    <map measureGroup="3" dimension="0"/>
    <map measureGroup="3" dimension="1"/>
    <map measureGroup="3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man Agustin Solis" refreshedDate="46280.848174652776" backgroundQuery="1" createdVersion="8" refreshedVersion="8" minRefreshableVersion="3" recordCount="0" supportSubquery="1" supportAdvancedDrill="1" xr:uid="{35603AE1-9632-4476-987A-32F09EFB1D2D}">
  <cacheSource type="external" connectionId="5"/>
  <cacheFields count="3">
    <cacheField name="[Measures].[Total Ventas]" caption="Total Ventas" numFmtId="0" hierarchy="26" level="32767"/>
    <cacheField name="[Measures].[Margen Neto]" caption="Margen Neto" numFmtId="0" hierarchy="27" level="32767"/>
    <cacheField name="[Measures].[% Margen Ganancia]" caption="% Margen Ganancia" numFmtId="0" hierarchy="28" level="32767"/>
  </cacheFields>
  <cacheHierarchies count="35">
    <cacheHierarchy uniqueName="[Dim_Categoria].[Categoría]" caption="Categoría" attribute="1" defaultMemberUniqueName="[Dim_Categoria].[Categoría].[All]" allUniqueName="[Dim_Categoria].[Categoría].[All]" dimensionUniqueName="[Dim_Categoria]" displayFolder="" count="0" memberValueDatatype="130" unbalanced="0"/>
    <cacheHierarchy uniqueName="[Dim_Categoria].[ID_Categoria]" caption="ID_Categoria" attribute="1" defaultMemberUniqueName="[Dim_Categoria].[ID_Categoria].[All]" allUniqueName="[Dim_Categoria].[ID_Categoria].[All]" dimensionUniqueName="[Dim_Categoria]" displayFolder="" count="0" memberValueDatatype="130" unbalanced="0"/>
    <cacheHierarchy uniqueName="[Dim_Proveedor].[ID_Proveedor]" caption="ID_Proveedor" attribute="1" defaultMemberUniqueName="[Dim_Proveedor].[ID_Proveedor].[All]" allUniqueName="[Dim_Proveedor].[ID_Proveedor].[All]" dimensionUniqueName="[Dim_Proveedor]" displayFolder="" count="0" memberValueDatatype="20" unbalanced="0"/>
    <cacheHierarchy uniqueName="[Dim_Proveedor].[Nombre del proveedor]" caption="Nombre del proveedor" attribute="1" defaultMemberUniqueName="[Dim_Proveedor].[Nombre del proveedor].[All]" allUniqueName="[Dim_Proveedor].[Nombre del proveedor].[All]" dimensionUniqueName="[Dim_Proveedor]" displayFolder="" count="0" memberValueDatatype="130" unbalanced="0"/>
    <cacheHierarchy uniqueName="[Fact_Inventario].[Costo unitario]" caption="Costo unitario" attribute="1" defaultMemberUniqueName="[Fact_Inventario].[Costo unitario].[All]" allUniqueName="[Fact_Inventario].[Costo unitario].[All]" dimensionUniqueName="[Fact_Inventario]" displayFolder="" count="0" memberValueDatatype="5" unbalanced="0"/>
    <cacheHierarchy uniqueName="[Fact_Inventario].[Estado del stock]" caption="Estado del stock" attribute="1" defaultMemberUniqueName="[Fact_Inventario].[Estado del stock].[All]" allUniqueName="[Fact_Inventario].[Estado del stock].[All]" dimensionUniqueName="[Fact_Inventario]" displayFolder="" count="0" memberValueDatatype="130" unbalanced="0"/>
    <cacheHierarchy uniqueName="[Fact_Inventario].[ID del producto]" caption="ID del producto" attribute="1" defaultMemberUniqueName="[Fact_Inventario].[ID del producto].[All]" allUniqueName="[Fact_Inventario].[ID del producto].[All]" dimensionUniqueName="[Fact_Inventario]" displayFolder="" count="0" memberValueDatatype="130" unbalanced="0"/>
    <cacheHierarchy uniqueName="[Fact_Inventario].[ID_Categoria]" caption="ID_Categoria" attribute="1" defaultMemberUniqueName="[Fact_Inventario].[ID_Categoria].[All]" allUniqueName="[Fact_Inventario].[ID_Categoria].[All]" dimensionUniqueName="[Fact_Inventario]" displayFolder="" count="0" memberValueDatatype="130" unbalanced="0"/>
    <cacheHierarchy uniqueName="[Fact_Inventario].[ID_Proveedor]" caption="ID_Proveedor" attribute="1" defaultMemberUniqueName="[Fact_Inventario].[ID_Proveedor].[All]" allUniqueName="[Fact_Inventario].[ID_Proveedor].[All]" dimensionUniqueName="[Fact_Inventario]" displayFolder="" count="0" memberValueDatatype="20" unbalanced="0"/>
    <cacheHierarchy uniqueName="[Fact_Inventario].[Nombre del producto]" caption="Nombre del producto" attribute="1" defaultMemberUniqueName="[Fact_Inventario].[Nombre del producto].[All]" allUniqueName="[Fact_Inventario].[Nombre del producto].[All]" dimensionUniqueName="[Fact_Inventario]" displayFolder="" count="0" memberValueDatatype="130" unbalanced="0"/>
    <cacheHierarchy uniqueName="[Fact_Inventario].[Precio minorista]" caption="Precio minorista" attribute="1" defaultMemberUniqueName="[Fact_Inventario].[Precio minorista].[All]" allUniqueName="[Fact_Inventario].[Precio minorista].[All]" dimensionUniqueName="[Fact_Inventario]" displayFolder="" count="0" memberValueDatatype="5" unbalanced="0"/>
    <cacheHierarchy uniqueName="[Fact_Inventario].[Punto de reposición]" caption="Punto de reposición" attribute="1" defaultMemberUniqueName="[Fact_Inventario].[Punto de reposición].[All]" allUniqueName="[Fact_Inventario].[Punto de reposición].[All]" dimensionUniqueName="[Fact_Inventario]" displayFolder="" count="0" memberValueDatatype="20" unbalanced="0"/>
    <cacheHierarchy uniqueName="[Fact_Inventario].[Stock final]" caption="Stock final" attribute="1" defaultMemberUniqueName="[Fact_Inventario].[Stock final].[All]" allUniqueName="[Fact_Inventario].[Stock final].[All]" dimensionUniqueName="[Fact_Inventario]" displayFolder="" count="0" memberValueDatatype="20" unbalanced="0"/>
    <cacheHierarchy uniqueName="[Fact_Inventario].[Stock inicial]" caption="Stock inicial" attribute="1" defaultMemberUniqueName="[Fact_Inventario].[Stock inicial].[All]" allUniqueName="[Fact_Inventario].[Stock inicial].[All]" dimensionUniqueName="[Fact_Inventario]" displayFolder="" count="0" memberValueDatatype="20" unbalanced="0"/>
    <cacheHierarchy uniqueName="[Fact_Inventario].[Unidades vendidas]" caption="Unidades vendidas" attribute="1" defaultMemberUniqueName="[Fact_Inventario].[Unidades vendidas].[All]" allUniqueName="[Fact_Inventario].[Unidades vendidas].[All]" dimensionUniqueName="[Fact_Inventario]" displayFolder="" count="0" memberValueDatatype="20" unbalanced="0"/>
    <cacheHierarchy uniqueName="[01 Retail Inventory  1].[Categoría]" caption="Categoría" attribute="1" defaultMemberUniqueName="[01 Retail Inventory  1].[Categoría].[All]" allUniqueName="[01 Retail Inventory  1].[Categoría].[All]" dimensionUniqueName="[01 Retail Inventory  1]" displayFolder="" count="0" memberValueDatatype="130" unbalanced="0" hidden="1"/>
    <cacheHierarchy uniqueName="[01 Retail Inventory  1].[Costo unitario]" caption="Costo unitario" attribute="1" defaultMemberUniqueName="[01 Retail Inventory  1].[Costo unitario].[All]" allUniqueName="[01 Retail Inventory  1].[Costo unitario].[All]" dimensionUniqueName="[01 Retail Inventory  1]" displayFolder="" count="0" memberValueDatatype="5" unbalanced="0" hidden="1"/>
    <cacheHierarchy uniqueName="[01 Retail Inventory  1].[Estado del stock]" caption="Estado del stock" attribute="1" defaultMemberUniqueName="[01 Retail Inventory  1].[Estado del stock].[All]" allUniqueName="[01 Retail Inventory  1].[Estado del stock].[All]" dimensionUniqueName="[01 Retail Inventory  1]" displayFolder="" count="0" memberValueDatatype="130" unbalanced="0" hidden="1"/>
    <cacheHierarchy uniqueName="[01 Retail Inventory  1].[ID del producto]" caption="ID del producto" attribute="1" defaultMemberUniqueName="[01 Retail Inventory  1].[ID del producto].[All]" allUniqueName="[01 Retail Inventory  1].[ID del producto].[All]" dimensionUniqueName="[01 Retail Inventory  1]" displayFolder="" count="0" memberValueDatatype="130" unbalanced="0" hidden="1"/>
    <cacheHierarchy uniqueName="[01 Retail Inventory  1].[Nombre del producto]" caption="Nombre del producto" attribute="1" defaultMemberUniqueName="[01 Retail Inventory  1].[Nombre del producto].[All]" allUniqueName="[01 Retail Inventory  1].[Nombre del producto].[All]" dimensionUniqueName="[01 Retail Inventory  1]" displayFolder="" count="0" memberValueDatatype="130" unbalanced="0" hidden="1"/>
    <cacheHierarchy uniqueName="[01 Retail Inventory  1].[Nombre del proveedor]" caption="Nombre del proveedor" attribute="1" defaultMemberUniqueName="[01 Retail Inventory  1].[Nombre del proveedor].[All]" allUniqueName="[01 Retail Inventory  1].[Nombre del proveedor].[All]" dimensionUniqueName="[01 Retail Inventory  1]" displayFolder="" count="0" memberValueDatatype="130" unbalanced="0" hidden="1"/>
    <cacheHierarchy uniqueName="[01 Retail Inventory  1].[Precio minorista]" caption="Precio minorista" attribute="1" defaultMemberUniqueName="[01 Retail Inventory  1].[Precio minorista].[All]" allUniqueName="[01 Retail Inventory  1].[Precio minorista].[All]" dimensionUniqueName="[01 Retail Inventory  1]" displayFolder="" count="0" memberValueDatatype="5" unbalanced="0" hidden="1"/>
    <cacheHierarchy uniqueName="[01 Retail Inventory  1].[Punto de reposición]" caption="Punto de reposición" attribute="1" defaultMemberUniqueName="[01 Retail Inventory  1].[Punto de reposición].[All]" allUniqueName="[01 Retail Inventory  1].[Punto de reposición].[All]" dimensionUniqueName="[01 Retail Inventory  1]" displayFolder="" count="0" memberValueDatatype="20" unbalanced="0" hidden="1"/>
    <cacheHierarchy uniqueName="[01 Retail Inventory  1].[Stock final]" caption="Stock final" attribute="1" defaultMemberUniqueName="[01 Retail Inventory  1].[Stock final].[All]" allUniqueName="[01 Retail Inventory  1].[Stock final].[All]" dimensionUniqueName="[01 Retail Inventory  1]" displayFolder="" count="0" memberValueDatatype="20" unbalanced="0" hidden="1"/>
    <cacheHierarchy uniqueName="[01 Retail Inventory  1].[Stock inicial]" caption="Stock inicial" attribute="1" defaultMemberUniqueName="[01 Retail Inventory  1].[Stock inicial].[All]" allUniqueName="[01 Retail Inventory  1].[Stock inicial].[All]" dimensionUniqueName="[01 Retail Inventory  1]" displayFolder="" count="0" memberValueDatatype="20" unbalanced="0" hidden="1"/>
    <cacheHierarchy uniqueName="[01 Retail Inventory  1].[Unidades vendidas]" caption="Unidades vendidas" attribute="1" defaultMemberUniqueName="[01 Retail Inventory  1].[Unidades vendidas].[All]" allUniqueName="[01 Retail Inventory  1].[Unidades vendidas].[All]" dimensionUniqueName="[01 Retail Inventory  1]" displayFolder="" count="0" memberValueDatatype="20" unbalanced="0" hidden="1"/>
    <cacheHierarchy uniqueName="[Measures].[Total Ventas]" caption="Total Ventas" measure="1" displayFolder="" measureGroup="Fact_Inventario" count="0" oneField="1">
      <fieldsUsage count="1">
        <fieldUsage x="0"/>
      </fieldsUsage>
    </cacheHierarchy>
    <cacheHierarchy uniqueName="[Measures].[Margen Neto]" caption="Margen Neto" measure="1" displayFolder="" measureGroup="Fact_Inventario" count="0" oneField="1">
      <fieldsUsage count="1">
        <fieldUsage x="1"/>
      </fieldsUsage>
    </cacheHierarchy>
    <cacheHierarchy uniqueName="[Measures].[% Margen Ganancia]" caption="% Margen Ganancia" measure="1" displayFolder="" measureGroup="Fact_Inventario" count="0" oneField="1">
      <fieldsUsage count="1">
        <fieldUsage x="2"/>
      </fieldsUsage>
    </cacheHierarchy>
    <cacheHierarchy uniqueName="[Measures].[__XL_Count 01 Retail Inventory  1]" caption="__XL_Count 01 Retail Inventory  1" measure="1" displayFolder="" measureGroup="01 Retail Inventory  1" count="0" hidden="1"/>
    <cacheHierarchy uniqueName="[Measures].[__XL_Count Dim_Categoria]" caption="__XL_Count Dim_Categoria" measure="1" displayFolder="" measureGroup="Dim_Categoria" count="0" hidden="1"/>
    <cacheHierarchy uniqueName="[Measures].[__XL_Count Dim_Proveedor]" caption="__XL_Count Dim_Proveedor" measure="1" displayFolder="" measureGroup="Dim_Proveedor" count="0" hidden="1"/>
    <cacheHierarchy uniqueName="[Measures].[__XL_Count Fact_Inventario]" caption="__XL_Count Fact_Inventario" measure="1" displayFolder="" measureGroup="Fact_Inventario" count="0" hidden="1"/>
    <cacheHierarchy uniqueName="[Measures].[__No measures defined]" caption="__No measures defined" measure="1" displayFolder="" count="0" hidden="1"/>
    <cacheHierarchy uniqueName="[Measures].[Suma de Unidades vendidas]" caption="Suma de Unidades vendidas" measure="1" displayFolder="" measureGroup="Fact_Inventa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Categoria" uniqueName="[Dim_Categoria]" caption="Dim_Categoria"/>
    <dimension name="Dim_Proveedor" uniqueName="[Dim_Proveedor]" caption="Dim_Proveedor"/>
    <dimension name="Fact_Inventario" uniqueName="[Fact_Inventario]" caption="Fact_Inventario"/>
    <dimension measure="1" name="Measures" uniqueName="[Measures]" caption="Measures"/>
  </dimensions>
  <measureGroups count="4">
    <measureGroup name="01 Retail Inventory  1" caption="01 Retail Inventory  1"/>
    <measureGroup name="Dim_Categoria" caption="Dim_Categoria"/>
    <measureGroup name="Dim_Proveedor" caption="Dim_Proveedor"/>
    <measureGroup name="Fact_Inventario" caption="Fact_Inventario"/>
  </measureGroups>
  <maps count="5">
    <map measureGroup="1" dimension="0"/>
    <map measureGroup="2" dimension="1"/>
    <map measureGroup="3" dimension="0"/>
    <map measureGroup="3" dimension="1"/>
    <map measureGroup="3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man Agustin Solis" refreshedDate="46280.852938194446" backgroundQuery="1" createdVersion="8" refreshedVersion="8" minRefreshableVersion="3" recordCount="0" supportSubquery="1" supportAdvancedDrill="1" xr:uid="{DF490266-33A2-42E9-BF40-DBC6E19673DF}">
  <cacheSource type="external" connectionId="5"/>
  <cacheFields count="2">
    <cacheField name="[Measures].[Suma de Unidades vendidas]" caption="Suma de Unidades vendidas" numFmtId="0" hierarchy="34" level="32767"/>
    <cacheField name="[Dim_Categoria].[Categoría].[Categoría]" caption="Categoría" numFmtId="0" level="1">
      <sharedItems count="8">
        <s v="Belleza"/>
        <s v="Comestibles"/>
        <s v="Deportes y aire libre"/>
        <s v="Electrónica"/>
        <s v="Hogar y cocina"/>
        <s v="Juguetes y juegos"/>
        <s v="Ropa"/>
        <s v="Suministros de oficina"/>
      </sharedItems>
    </cacheField>
  </cacheFields>
  <cacheHierarchies count="35">
    <cacheHierarchy uniqueName="[Dim_Categoria].[Categoría]" caption="Categoría" attribute="1" defaultMemberUniqueName="[Dim_Categoria].[Categoría].[All]" allUniqueName="[Dim_Categoria].[Categoría].[All]" dimensionUniqueName="[Dim_Categoria]" displayFolder="" count="2" memberValueDatatype="130" unbalanced="0">
      <fieldsUsage count="2">
        <fieldUsage x="-1"/>
        <fieldUsage x="1"/>
      </fieldsUsage>
    </cacheHierarchy>
    <cacheHierarchy uniqueName="[Dim_Categoria].[ID_Categoria]" caption="ID_Categoria" attribute="1" defaultMemberUniqueName="[Dim_Categoria].[ID_Categoria].[All]" allUniqueName="[Dim_Categoria].[ID_Categoria].[All]" dimensionUniqueName="[Dim_Categoria]" displayFolder="" count="0" memberValueDatatype="130" unbalanced="0"/>
    <cacheHierarchy uniqueName="[Dim_Proveedor].[ID_Proveedor]" caption="ID_Proveedor" attribute="1" defaultMemberUniqueName="[Dim_Proveedor].[ID_Proveedor].[All]" allUniqueName="[Dim_Proveedor].[ID_Proveedor].[All]" dimensionUniqueName="[Dim_Proveedor]" displayFolder="" count="0" memberValueDatatype="20" unbalanced="0"/>
    <cacheHierarchy uniqueName="[Dim_Proveedor].[Nombre del proveedor]" caption="Nombre del proveedor" attribute="1" defaultMemberUniqueName="[Dim_Proveedor].[Nombre del proveedor].[All]" allUniqueName="[Dim_Proveedor].[Nombre del proveedor].[All]" dimensionUniqueName="[Dim_Proveedor]" displayFolder="" count="0" memberValueDatatype="130" unbalanced="0"/>
    <cacheHierarchy uniqueName="[Fact_Inventario].[Costo unitario]" caption="Costo unitario" attribute="1" defaultMemberUniqueName="[Fact_Inventario].[Costo unitario].[All]" allUniqueName="[Fact_Inventario].[Costo unitario].[All]" dimensionUniqueName="[Fact_Inventario]" displayFolder="" count="0" memberValueDatatype="5" unbalanced="0"/>
    <cacheHierarchy uniqueName="[Fact_Inventario].[Estado del stock]" caption="Estado del stock" attribute="1" defaultMemberUniqueName="[Fact_Inventario].[Estado del stock].[All]" allUniqueName="[Fact_Inventario].[Estado del stock].[All]" dimensionUniqueName="[Fact_Inventario]" displayFolder="" count="0" memberValueDatatype="130" unbalanced="0"/>
    <cacheHierarchy uniqueName="[Fact_Inventario].[ID del producto]" caption="ID del producto" attribute="1" defaultMemberUniqueName="[Fact_Inventario].[ID del producto].[All]" allUniqueName="[Fact_Inventario].[ID del producto].[All]" dimensionUniqueName="[Fact_Inventario]" displayFolder="" count="2" memberValueDatatype="130" unbalanced="0"/>
    <cacheHierarchy uniqueName="[Fact_Inventario].[ID_Categoria]" caption="ID_Categoria" attribute="1" defaultMemberUniqueName="[Fact_Inventario].[ID_Categoria].[All]" allUniqueName="[Fact_Inventario].[ID_Categoria].[All]" dimensionUniqueName="[Fact_Inventario]" displayFolder="" count="0" memberValueDatatype="130" unbalanced="0"/>
    <cacheHierarchy uniqueName="[Fact_Inventario].[ID_Proveedor]" caption="ID_Proveedor" attribute="1" defaultMemberUniqueName="[Fact_Inventario].[ID_Proveedor].[All]" allUniqueName="[Fact_Inventario].[ID_Proveedor].[All]" dimensionUniqueName="[Fact_Inventario]" displayFolder="" count="0" memberValueDatatype="20" unbalanced="0"/>
    <cacheHierarchy uniqueName="[Fact_Inventario].[Nombre del producto]" caption="Nombre del producto" attribute="1" defaultMemberUniqueName="[Fact_Inventario].[Nombre del producto].[All]" allUniqueName="[Fact_Inventario].[Nombre del producto].[All]" dimensionUniqueName="[Fact_Inventario]" displayFolder="" count="0" memberValueDatatype="130" unbalanced="0"/>
    <cacheHierarchy uniqueName="[Fact_Inventario].[Precio minorista]" caption="Precio minorista" attribute="1" defaultMemberUniqueName="[Fact_Inventario].[Precio minorista].[All]" allUniqueName="[Fact_Inventario].[Precio minorista].[All]" dimensionUniqueName="[Fact_Inventario]" displayFolder="" count="0" memberValueDatatype="5" unbalanced="0"/>
    <cacheHierarchy uniqueName="[Fact_Inventario].[Punto de reposición]" caption="Punto de reposición" attribute="1" defaultMemberUniqueName="[Fact_Inventario].[Punto de reposición].[All]" allUniqueName="[Fact_Inventario].[Punto de reposición].[All]" dimensionUniqueName="[Fact_Inventario]" displayFolder="" count="0" memberValueDatatype="20" unbalanced="0"/>
    <cacheHierarchy uniqueName="[Fact_Inventario].[Stock final]" caption="Stock final" attribute="1" defaultMemberUniqueName="[Fact_Inventario].[Stock final].[All]" allUniqueName="[Fact_Inventario].[Stock final].[All]" dimensionUniqueName="[Fact_Inventario]" displayFolder="" count="0" memberValueDatatype="20" unbalanced="0"/>
    <cacheHierarchy uniqueName="[Fact_Inventario].[Stock inicial]" caption="Stock inicial" attribute="1" defaultMemberUniqueName="[Fact_Inventario].[Stock inicial].[All]" allUniqueName="[Fact_Inventario].[Stock inicial].[All]" dimensionUniqueName="[Fact_Inventario]" displayFolder="" count="0" memberValueDatatype="20" unbalanced="0"/>
    <cacheHierarchy uniqueName="[Fact_Inventario].[Unidades vendidas]" caption="Unidades vendidas" attribute="1" defaultMemberUniqueName="[Fact_Inventario].[Unidades vendidas].[All]" allUniqueName="[Fact_Inventario].[Unidades vendidas].[All]" dimensionUniqueName="[Fact_Inventario]" displayFolder="" count="0" memberValueDatatype="20" unbalanced="0"/>
    <cacheHierarchy uniqueName="[01 Retail Inventory  1].[Categoría]" caption="Categoría" attribute="1" defaultMemberUniqueName="[01 Retail Inventory  1].[Categoría].[All]" allUniqueName="[01 Retail Inventory  1].[Categoría].[All]" dimensionUniqueName="[01 Retail Inventory  1]" displayFolder="" count="0" memberValueDatatype="130" unbalanced="0" hidden="1"/>
    <cacheHierarchy uniqueName="[01 Retail Inventory  1].[Costo unitario]" caption="Costo unitario" attribute="1" defaultMemberUniqueName="[01 Retail Inventory  1].[Costo unitario].[All]" allUniqueName="[01 Retail Inventory  1].[Costo unitario].[All]" dimensionUniqueName="[01 Retail Inventory  1]" displayFolder="" count="0" memberValueDatatype="5" unbalanced="0" hidden="1"/>
    <cacheHierarchy uniqueName="[01 Retail Inventory  1].[Estado del stock]" caption="Estado del stock" attribute="1" defaultMemberUniqueName="[01 Retail Inventory  1].[Estado del stock].[All]" allUniqueName="[01 Retail Inventory  1].[Estado del stock].[All]" dimensionUniqueName="[01 Retail Inventory  1]" displayFolder="" count="0" memberValueDatatype="130" unbalanced="0" hidden="1"/>
    <cacheHierarchy uniqueName="[01 Retail Inventory  1].[ID del producto]" caption="ID del producto" attribute="1" defaultMemberUniqueName="[01 Retail Inventory  1].[ID del producto].[All]" allUniqueName="[01 Retail Inventory  1].[ID del producto].[All]" dimensionUniqueName="[01 Retail Inventory  1]" displayFolder="" count="0" memberValueDatatype="130" unbalanced="0" hidden="1"/>
    <cacheHierarchy uniqueName="[01 Retail Inventory  1].[Nombre del producto]" caption="Nombre del producto" attribute="1" defaultMemberUniqueName="[01 Retail Inventory  1].[Nombre del producto].[All]" allUniqueName="[01 Retail Inventory  1].[Nombre del producto].[All]" dimensionUniqueName="[01 Retail Inventory  1]" displayFolder="" count="0" memberValueDatatype="130" unbalanced="0" hidden="1"/>
    <cacheHierarchy uniqueName="[01 Retail Inventory  1].[Nombre del proveedor]" caption="Nombre del proveedor" attribute="1" defaultMemberUniqueName="[01 Retail Inventory  1].[Nombre del proveedor].[All]" allUniqueName="[01 Retail Inventory  1].[Nombre del proveedor].[All]" dimensionUniqueName="[01 Retail Inventory  1]" displayFolder="" count="0" memberValueDatatype="130" unbalanced="0" hidden="1"/>
    <cacheHierarchy uniqueName="[01 Retail Inventory  1].[Precio minorista]" caption="Precio minorista" attribute="1" defaultMemberUniqueName="[01 Retail Inventory  1].[Precio minorista].[All]" allUniqueName="[01 Retail Inventory  1].[Precio minorista].[All]" dimensionUniqueName="[01 Retail Inventory  1]" displayFolder="" count="0" memberValueDatatype="5" unbalanced="0" hidden="1"/>
    <cacheHierarchy uniqueName="[01 Retail Inventory  1].[Punto de reposición]" caption="Punto de reposición" attribute="1" defaultMemberUniqueName="[01 Retail Inventory  1].[Punto de reposición].[All]" allUniqueName="[01 Retail Inventory  1].[Punto de reposición].[All]" dimensionUniqueName="[01 Retail Inventory  1]" displayFolder="" count="0" memberValueDatatype="20" unbalanced="0" hidden="1"/>
    <cacheHierarchy uniqueName="[01 Retail Inventory  1].[Stock final]" caption="Stock final" attribute="1" defaultMemberUniqueName="[01 Retail Inventory  1].[Stock final].[All]" allUniqueName="[01 Retail Inventory  1].[Stock final].[All]" dimensionUniqueName="[01 Retail Inventory  1]" displayFolder="" count="0" memberValueDatatype="20" unbalanced="0" hidden="1"/>
    <cacheHierarchy uniqueName="[01 Retail Inventory  1].[Stock inicial]" caption="Stock inicial" attribute="1" defaultMemberUniqueName="[01 Retail Inventory  1].[Stock inicial].[All]" allUniqueName="[01 Retail Inventory  1].[Stock inicial].[All]" dimensionUniqueName="[01 Retail Inventory  1]" displayFolder="" count="0" memberValueDatatype="20" unbalanced="0" hidden="1"/>
    <cacheHierarchy uniqueName="[01 Retail Inventory  1].[Unidades vendidas]" caption="Unidades vendidas" attribute="1" defaultMemberUniqueName="[01 Retail Inventory  1].[Unidades vendidas].[All]" allUniqueName="[01 Retail Inventory  1].[Unidades vendidas].[All]" dimensionUniqueName="[01 Retail Inventory  1]" displayFolder="" count="0" memberValueDatatype="20" unbalanced="0" hidden="1"/>
    <cacheHierarchy uniqueName="[Measures].[Total Ventas]" caption="Total Ventas" measure="1" displayFolder="" measureGroup="Fact_Inventario" count="0"/>
    <cacheHierarchy uniqueName="[Measures].[Margen Neto]" caption="Margen Neto" measure="1" displayFolder="" measureGroup="Fact_Inventario" count="0"/>
    <cacheHierarchy uniqueName="[Measures].[% Margen Ganancia]" caption="% Margen Ganancia" measure="1" displayFolder="" measureGroup="Fact_Inventario" count="0"/>
    <cacheHierarchy uniqueName="[Measures].[__XL_Count 01 Retail Inventory  1]" caption="__XL_Count 01 Retail Inventory  1" measure="1" displayFolder="" measureGroup="01 Retail Inventory  1" count="0" hidden="1"/>
    <cacheHierarchy uniqueName="[Measures].[__XL_Count Dim_Categoria]" caption="__XL_Count Dim_Categoria" measure="1" displayFolder="" measureGroup="Dim_Categoria" count="0" hidden="1"/>
    <cacheHierarchy uniqueName="[Measures].[__XL_Count Dim_Proveedor]" caption="__XL_Count Dim_Proveedor" measure="1" displayFolder="" measureGroup="Dim_Proveedor" count="0" hidden="1"/>
    <cacheHierarchy uniqueName="[Measures].[__XL_Count Fact_Inventario]" caption="__XL_Count Fact_Inventario" measure="1" displayFolder="" measureGroup="Fact_Inventario" count="0" hidden="1"/>
    <cacheHierarchy uniqueName="[Measures].[__No measures defined]" caption="__No measures defined" measure="1" displayFolder="" count="0" hidden="1"/>
    <cacheHierarchy uniqueName="[Measures].[Suma de Unidades vendidas]" caption="Suma de Unidades vendidas" measure="1" displayFolder="" measureGroup="Fact_Inventari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Categoria" uniqueName="[Dim_Categoria]" caption="Dim_Categoria"/>
    <dimension name="Dim_Proveedor" uniqueName="[Dim_Proveedor]" caption="Dim_Proveedor"/>
    <dimension name="Fact_Inventario" uniqueName="[Fact_Inventario]" caption="Fact_Inventario"/>
    <dimension measure="1" name="Measures" uniqueName="[Measures]" caption="Measures"/>
  </dimensions>
  <measureGroups count="4">
    <measureGroup name="01 Retail Inventory  1" caption="01 Retail Inventory  1"/>
    <measureGroup name="Dim_Categoria" caption="Dim_Categoria"/>
    <measureGroup name="Dim_Proveedor" caption="Dim_Proveedor"/>
    <measureGroup name="Fact_Inventario" caption="Fact_Inventario"/>
  </measureGroups>
  <maps count="5">
    <map measureGroup="1" dimension="0"/>
    <map measureGroup="2" dimension="1"/>
    <map measureGroup="3" dimension="0"/>
    <map measureGroup="3" dimension="1"/>
    <map measureGroup="3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C675C-A475-4A39-9F99-2AB9B1B7E6F2}" name="TablaDinámica6" cacheId="83" applyNumberFormats="0" applyBorderFormats="0" applyFontFormats="0" applyPatternFormats="0" applyAlignmentFormats="0" applyWidthHeightFormats="1" dataCaption="Valores" tag="514b9273-3817-4694-bfcf-db59f90b7c33" updatedVersion="8" minRefreshableVersion="3" useAutoFormatting="1" itemPrintTitles="1" createdVersion="8" indent="0" outline="1" outlineData="1" multipleFieldFilters="0" chartFormat="10">
  <location ref="E6:F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Unidades vendidas" fld="0" baseField="0" baseItem="0"/>
  </dataFields>
  <formats count="12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Inventario]"/>
        <x15:activeTabTopLevelEntity name="[Dim_Categor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52335-28F0-4BCE-AAF6-4F0ED957954F}" name="TablaDinámica5" cacheId="67" applyNumberFormats="0" applyBorderFormats="0" applyFontFormats="0" applyPatternFormats="0" applyAlignmentFormats="0" applyWidthHeightFormats="1" dataCaption="Valores" tag="e34fbfd3-1e1b-44f4-868d-b3ee547bf1bb" updatedVersion="8" minRefreshableVersion="3" useAutoFormatting="1" itemPrintTitles="1" createdVersion="8" indent="0" outline="1" outlineData="1" multipleFieldFilters="0" chartFormat="7">
  <location ref="A6:C15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tegoria]"/>
        <x15:activeTabTopLevelEntity name="[Fact_Invent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0F272-7697-4312-B25A-FE527962FDC4}" name="TablaDinámica4" cacheId="68" applyNumberFormats="0" applyBorderFormats="0" applyFontFormats="0" applyPatternFormats="0" applyAlignmentFormats="0" applyWidthHeightFormats="1" dataCaption="Valores" tag="5c967078-4fc5-46f5-8f77-b9b873af0d70" updatedVersion="8" minRefreshableVersion="3" useAutoFormatting="1" itemPrintTitles="1" createdVersion="8" indent="0" outline="1" outlineData="1" multipleFieldFilters="0">
  <location ref="A1:C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Invent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6EEC-A85D-40DB-9F5C-8E0EAE4F9E53}">
  <dimension ref="A1:D1001"/>
  <sheetViews>
    <sheetView workbookViewId="0">
      <selection activeCell="C28" sqref="C28"/>
    </sheetView>
  </sheetViews>
  <sheetFormatPr baseColWidth="10" defaultRowHeight="14.4" x14ac:dyDescent="0.3"/>
  <cols>
    <col min="1" max="1" width="16.88671875" bestFit="1" customWidth="1"/>
    <col min="3" max="3" width="21.5546875" bestFit="1" customWidth="1"/>
    <col min="4" max="4" width="8.5546875" bestFit="1" customWidth="1"/>
  </cols>
  <sheetData>
    <row r="1" spans="1:4" x14ac:dyDescent="0.3">
      <c r="A1" s="2" t="s">
        <v>0</v>
      </c>
      <c r="B1" s="2"/>
      <c r="C1" s="3" t="s">
        <v>0</v>
      </c>
      <c r="D1" s="3"/>
    </row>
    <row r="2" spans="1:4" x14ac:dyDescent="0.3">
      <c r="A2" s="4">
        <v>118</v>
      </c>
    </row>
    <row r="3" spans="1:4" x14ac:dyDescent="0.3">
      <c r="A3" s="4">
        <v>10</v>
      </c>
      <c r="C3" s="5" t="s">
        <v>1</v>
      </c>
      <c r="D3" s="7">
        <v>137.04</v>
      </c>
    </row>
    <row r="4" spans="1:4" x14ac:dyDescent="0.3">
      <c r="A4" s="4">
        <v>195</v>
      </c>
      <c r="C4" s="5" t="s">
        <v>2</v>
      </c>
      <c r="D4" s="8">
        <v>3.2768543107947554</v>
      </c>
    </row>
    <row r="5" spans="1:4" x14ac:dyDescent="0.3">
      <c r="A5" s="4">
        <v>140</v>
      </c>
      <c r="C5" s="5" t="s">
        <v>3</v>
      </c>
      <c r="D5" s="9">
        <v>108.5</v>
      </c>
    </row>
    <row r="6" spans="1:4" x14ac:dyDescent="0.3">
      <c r="A6" s="4">
        <v>8</v>
      </c>
      <c r="C6" s="5" t="s">
        <v>4</v>
      </c>
      <c r="D6" s="10">
        <v>21</v>
      </c>
    </row>
    <row r="7" spans="1:4" x14ac:dyDescent="0.3">
      <c r="A7" s="4">
        <v>52</v>
      </c>
      <c r="C7" s="5" t="s">
        <v>5</v>
      </c>
      <c r="D7" s="7">
        <v>103.62323182652706</v>
      </c>
    </row>
    <row r="8" spans="1:4" x14ac:dyDescent="0.3">
      <c r="A8" s="4">
        <v>6</v>
      </c>
      <c r="C8" s="5" t="s">
        <v>6</v>
      </c>
      <c r="D8" s="7">
        <v>10737.774174174172</v>
      </c>
    </row>
    <row r="9" spans="1:4" x14ac:dyDescent="0.3">
      <c r="A9" s="4">
        <v>72</v>
      </c>
      <c r="C9" s="5" t="s">
        <v>7</v>
      </c>
      <c r="D9" s="11">
        <v>-4.6611573541665674E-2</v>
      </c>
    </row>
    <row r="10" spans="1:4" x14ac:dyDescent="0.3">
      <c r="A10" s="4">
        <v>59</v>
      </c>
      <c r="C10" s="5" t="s">
        <v>8</v>
      </c>
      <c r="D10" s="11">
        <v>0.88351562749964718</v>
      </c>
    </row>
    <row r="11" spans="1:4" x14ac:dyDescent="0.3">
      <c r="A11" s="4">
        <v>14</v>
      </c>
      <c r="C11" s="5" t="s">
        <v>9</v>
      </c>
      <c r="D11" s="10">
        <v>460</v>
      </c>
    </row>
    <row r="12" spans="1:4" x14ac:dyDescent="0.3">
      <c r="A12" s="4">
        <v>83</v>
      </c>
      <c r="C12" s="5" t="s">
        <v>10</v>
      </c>
      <c r="D12" s="10">
        <v>3</v>
      </c>
    </row>
    <row r="13" spans="1:4" x14ac:dyDescent="0.3">
      <c r="A13" s="4">
        <v>211</v>
      </c>
      <c r="C13" s="5" t="s">
        <v>11</v>
      </c>
      <c r="D13" s="10">
        <v>463</v>
      </c>
    </row>
    <row r="14" spans="1:4" x14ac:dyDescent="0.3">
      <c r="A14" s="4">
        <v>14</v>
      </c>
      <c r="C14" s="5" t="s">
        <v>12</v>
      </c>
      <c r="D14" s="12">
        <v>137040</v>
      </c>
    </row>
    <row r="15" spans="1:4" ht="15" thickBot="1" x14ac:dyDescent="0.35">
      <c r="A15" s="4">
        <v>110</v>
      </c>
      <c r="C15" s="6" t="s">
        <v>13</v>
      </c>
      <c r="D15" s="13">
        <v>1000</v>
      </c>
    </row>
    <row r="16" spans="1:4" x14ac:dyDescent="0.3">
      <c r="A16" s="4">
        <v>143</v>
      </c>
    </row>
    <row r="17" spans="1:1" x14ac:dyDescent="0.3">
      <c r="A17" s="4">
        <v>99</v>
      </c>
    </row>
    <row r="18" spans="1:1" x14ac:dyDescent="0.3">
      <c r="A18" s="4">
        <v>381</v>
      </c>
    </row>
    <row r="19" spans="1:1" x14ac:dyDescent="0.3">
      <c r="A19" s="4">
        <v>346</v>
      </c>
    </row>
    <row r="20" spans="1:1" x14ac:dyDescent="0.3">
      <c r="A20" s="4">
        <v>41</v>
      </c>
    </row>
    <row r="21" spans="1:1" x14ac:dyDescent="0.3">
      <c r="A21" s="4">
        <v>5</v>
      </c>
    </row>
    <row r="22" spans="1:1" x14ac:dyDescent="0.3">
      <c r="A22" s="4">
        <v>291</v>
      </c>
    </row>
    <row r="23" spans="1:1" x14ac:dyDescent="0.3">
      <c r="A23" s="4">
        <v>91</v>
      </c>
    </row>
    <row r="24" spans="1:1" x14ac:dyDescent="0.3">
      <c r="A24" s="4">
        <v>183</v>
      </c>
    </row>
    <row r="25" spans="1:1" x14ac:dyDescent="0.3">
      <c r="A25" s="4">
        <v>22</v>
      </c>
    </row>
    <row r="26" spans="1:1" x14ac:dyDescent="0.3">
      <c r="A26" s="4">
        <v>317</v>
      </c>
    </row>
    <row r="27" spans="1:1" x14ac:dyDescent="0.3">
      <c r="A27" s="4">
        <v>259</v>
      </c>
    </row>
    <row r="28" spans="1:1" x14ac:dyDescent="0.3">
      <c r="A28" s="4">
        <v>171</v>
      </c>
    </row>
    <row r="29" spans="1:1" x14ac:dyDescent="0.3">
      <c r="A29" s="4">
        <v>102</v>
      </c>
    </row>
    <row r="30" spans="1:1" x14ac:dyDescent="0.3">
      <c r="A30" s="4">
        <v>32</v>
      </c>
    </row>
    <row r="31" spans="1:1" x14ac:dyDescent="0.3">
      <c r="A31" s="4">
        <v>114</v>
      </c>
    </row>
    <row r="32" spans="1:1" x14ac:dyDescent="0.3">
      <c r="A32" s="4">
        <v>159</v>
      </c>
    </row>
    <row r="33" spans="1:1" x14ac:dyDescent="0.3">
      <c r="A33" s="4">
        <v>16</v>
      </c>
    </row>
    <row r="34" spans="1:1" x14ac:dyDescent="0.3">
      <c r="A34" s="4">
        <v>287</v>
      </c>
    </row>
    <row r="35" spans="1:1" x14ac:dyDescent="0.3">
      <c r="A35" s="4">
        <v>53</v>
      </c>
    </row>
    <row r="36" spans="1:1" x14ac:dyDescent="0.3">
      <c r="A36" s="4">
        <v>156</v>
      </c>
    </row>
    <row r="37" spans="1:1" x14ac:dyDescent="0.3">
      <c r="A37" s="4">
        <v>137</v>
      </c>
    </row>
    <row r="38" spans="1:1" x14ac:dyDescent="0.3">
      <c r="A38" s="4">
        <v>108</v>
      </c>
    </row>
    <row r="39" spans="1:1" x14ac:dyDescent="0.3">
      <c r="A39" s="4">
        <v>326</v>
      </c>
    </row>
    <row r="40" spans="1:1" x14ac:dyDescent="0.3">
      <c r="A40" s="4">
        <v>25</v>
      </c>
    </row>
    <row r="41" spans="1:1" x14ac:dyDescent="0.3">
      <c r="A41" s="4">
        <v>33</v>
      </c>
    </row>
    <row r="42" spans="1:1" x14ac:dyDescent="0.3">
      <c r="A42" s="4">
        <v>290</v>
      </c>
    </row>
    <row r="43" spans="1:1" x14ac:dyDescent="0.3">
      <c r="A43" s="4">
        <v>243</v>
      </c>
    </row>
    <row r="44" spans="1:1" x14ac:dyDescent="0.3">
      <c r="A44" s="4">
        <v>146</v>
      </c>
    </row>
    <row r="45" spans="1:1" x14ac:dyDescent="0.3">
      <c r="A45" s="4">
        <v>224</v>
      </c>
    </row>
    <row r="46" spans="1:1" x14ac:dyDescent="0.3">
      <c r="A46" s="4">
        <v>238</v>
      </c>
    </row>
    <row r="47" spans="1:1" x14ac:dyDescent="0.3">
      <c r="A47" s="4">
        <v>38</v>
      </c>
    </row>
    <row r="48" spans="1:1" x14ac:dyDescent="0.3">
      <c r="A48" s="4">
        <v>286</v>
      </c>
    </row>
    <row r="49" spans="1:1" x14ac:dyDescent="0.3">
      <c r="A49" s="4">
        <v>76</v>
      </c>
    </row>
    <row r="50" spans="1:1" x14ac:dyDescent="0.3">
      <c r="A50" s="4">
        <v>165</v>
      </c>
    </row>
    <row r="51" spans="1:1" x14ac:dyDescent="0.3">
      <c r="A51" s="4">
        <v>129</v>
      </c>
    </row>
    <row r="52" spans="1:1" x14ac:dyDescent="0.3">
      <c r="A52" s="4">
        <v>55</v>
      </c>
    </row>
    <row r="53" spans="1:1" x14ac:dyDescent="0.3">
      <c r="A53" s="4">
        <v>9</v>
      </c>
    </row>
    <row r="54" spans="1:1" x14ac:dyDescent="0.3">
      <c r="A54" s="4">
        <v>75</v>
      </c>
    </row>
    <row r="55" spans="1:1" x14ac:dyDescent="0.3">
      <c r="A55" s="4">
        <v>43</v>
      </c>
    </row>
    <row r="56" spans="1:1" x14ac:dyDescent="0.3">
      <c r="A56" s="4">
        <v>41</v>
      </c>
    </row>
    <row r="57" spans="1:1" x14ac:dyDescent="0.3">
      <c r="A57" s="4">
        <v>94</v>
      </c>
    </row>
    <row r="58" spans="1:1" x14ac:dyDescent="0.3">
      <c r="A58" s="4">
        <v>158</v>
      </c>
    </row>
    <row r="59" spans="1:1" x14ac:dyDescent="0.3">
      <c r="A59" s="4">
        <v>37</v>
      </c>
    </row>
    <row r="60" spans="1:1" x14ac:dyDescent="0.3">
      <c r="A60" s="4">
        <v>11</v>
      </c>
    </row>
    <row r="61" spans="1:1" x14ac:dyDescent="0.3">
      <c r="A61" s="4">
        <v>83</v>
      </c>
    </row>
    <row r="62" spans="1:1" x14ac:dyDescent="0.3">
      <c r="A62" s="4">
        <v>83</v>
      </c>
    </row>
    <row r="63" spans="1:1" x14ac:dyDescent="0.3">
      <c r="A63" s="4">
        <v>56</v>
      </c>
    </row>
    <row r="64" spans="1:1" x14ac:dyDescent="0.3">
      <c r="A64" s="4">
        <v>65</v>
      </c>
    </row>
    <row r="65" spans="1:1" x14ac:dyDescent="0.3">
      <c r="A65" s="4">
        <v>118</v>
      </c>
    </row>
    <row r="66" spans="1:1" x14ac:dyDescent="0.3">
      <c r="A66" s="4">
        <v>104</v>
      </c>
    </row>
    <row r="67" spans="1:1" x14ac:dyDescent="0.3">
      <c r="A67" s="4">
        <v>119</v>
      </c>
    </row>
    <row r="68" spans="1:1" x14ac:dyDescent="0.3">
      <c r="A68" s="4">
        <v>58</v>
      </c>
    </row>
    <row r="69" spans="1:1" x14ac:dyDescent="0.3">
      <c r="A69" s="4">
        <v>206</v>
      </c>
    </row>
    <row r="70" spans="1:1" x14ac:dyDescent="0.3">
      <c r="A70" s="4">
        <v>97</v>
      </c>
    </row>
    <row r="71" spans="1:1" x14ac:dyDescent="0.3">
      <c r="A71" s="4">
        <v>30</v>
      </c>
    </row>
    <row r="72" spans="1:1" x14ac:dyDescent="0.3">
      <c r="A72" s="4">
        <v>19</v>
      </c>
    </row>
    <row r="73" spans="1:1" x14ac:dyDescent="0.3">
      <c r="A73" s="4">
        <v>26</v>
      </c>
    </row>
    <row r="74" spans="1:1" x14ac:dyDescent="0.3">
      <c r="A74" s="4">
        <v>99</v>
      </c>
    </row>
    <row r="75" spans="1:1" x14ac:dyDescent="0.3">
      <c r="A75" s="4">
        <v>38</v>
      </c>
    </row>
    <row r="76" spans="1:1" x14ac:dyDescent="0.3">
      <c r="A76" s="4">
        <v>205</v>
      </c>
    </row>
    <row r="77" spans="1:1" x14ac:dyDescent="0.3">
      <c r="A77" s="4">
        <v>75</v>
      </c>
    </row>
    <row r="78" spans="1:1" x14ac:dyDescent="0.3">
      <c r="A78" s="4">
        <v>43</v>
      </c>
    </row>
    <row r="79" spans="1:1" x14ac:dyDescent="0.3">
      <c r="A79" s="4">
        <v>178</v>
      </c>
    </row>
    <row r="80" spans="1:1" x14ac:dyDescent="0.3">
      <c r="A80" s="4">
        <v>16</v>
      </c>
    </row>
    <row r="81" spans="1:1" x14ac:dyDescent="0.3">
      <c r="A81" s="4">
        <v>150</v>
      </c>
    </row>
    <row r="82" spans="1:1" x14ac:dyDescent="0.3">
      <c r="A82" s="4">
        <v>129</v>
      </c>
    </row>
    <row r="83" spans="1:1" x14ac:dyDescent="0.3">
      <c r="A83" s="4">
        <v>59</v>
      </c>
    </row>
    <row r="84" spans="1:1" x14ac:dyDescent="0.3">
      <c r="A84" s="4">
        <v>82</v>
      </c>
    </row>
    <row r="85" spans="1:1" x14ac:dyDescent="0.3">
      <c r="A85" s="4">
        <v>42</v>
      </c>
    </row>
    <row r="86" spans="1:1" x14ac:dyDescent="0.3">
      <c r="A86" s="4">
        <v>152</v>
      </c>
    </row>
    <row r="87" spans="1:1" x14ac:dyDescent="0.3">
      <c r="A87" s="4">
        <v>116</v>
      </c>
    </row>
    <row r="88" spans="1:1" x14ac:dyDescent="0.3">
      <c r="A88" s="4">
        <v>116</v>
      </c>
    </row>
    <row r="89" spans="1:1" x14ac:dyDescent="0.3">
      <c r="A89" s="4">
        <v>412</v>
      </c>
    </row>
    <row r="90" spans="1:1" x14ac:dyDescent="0.3">
      <c r="A90" s="4">
        <v>21</v>
      </c>
    </row>
    <row r="91" spans="1:1" x14ac:dyDescent="0.3">
      <c r="A91" s="4">
        <v>7</v>
      </c>
    </row>
    <row r="92" spans="1:1" x14ac:dyDescent="0.3">
      <c r="A92" s="4">
        <v>38</v>
      </c>
    </row>
    <row r="93" spans="1:1" x14ac:dyDescent="0.3">
      <c r="A93" s="4">
        <v>48</v>
      </c>
    </row>
    <row r="94" spans="1:1" x14ac:dyDescent="0.3">
      <c r="A94" s="4">
        <v>133</v>
      </c>
    </row>
    <row r="95" spans="1:1" x14ac:dyDescent="0.3">
      <c r="A95" s="4">
        <v>17</v>
      </c>
    </row>
    <row r="96" spans="1:1" x14ac:dyDescent="0.3">
      <c r="A96" s="4">
        <v>101</v>
      </c>
    </row>
    <row r="97" spans="1:1" x14ac:dyDescent="0.3">
      <c r="A97" s="4">
        <v>39</v>
      </c>
    </row>
    <row r="98" spans="1:1" x14ac:dyDescent="0.3">
      <c r="A98" s="4">
        <v>32</v>
      </c>
    </row>
    <row r="99" spans="1:1" x14ac:dyDescent="0.3">
      <c r="A99" s="4">
        <v>158</v>
      </c>
    </row>
    <row r="100" spans="1:1" x14ac:dyDescent="0.3">
      <c r="A100" s="4">
        <v>56</v>
      </c>
    </row>
    <row r="101" spans="1:1" x14ac:dyDescent="0.3">
      <c r="A101" s="4">
        <v>351</v>
      </c>
    </row>
    <row r="102" spans="1:1" x14ac:dyDescent="0.3">
      <c r="A102" s="4">
        <v>154</v>
      </c>
    </row>
    <row r="103" spans="1:1" x14ac:dyDescent="0.3">
      <c r="A103" s="4">
        <v>148</v>
      </c>
    </row>
    <row r="104" spans="1:1" x14ac:dyDescent="0.3">
      <c r="A104" s="4">
        <v>143</v>
      </c>
    </row>
    <row r="105" spans="1:1" x14ac:dyDescent="0.3">
      <c r="A105" s="4">
        <v>276</v>
      </c>
    </row>
    <row r="106" spans="1:1" x14ac:dyDescent="0.3">
      <c r="A106" s="4">
        <v>178</v>
      </c>
    </row>
    <row r="107" spans="1:1" x14ac:dyDescent="0.3">
      <c r="A107" s="4">
        <v>88</v>
      </c>
    </row>
    <row r="108" spans="1:1" x14ac:dyDescent="0.3">
      <c r="A108" s="4">
        <v>177</v>
      </c>
    </row>
    <row r="109" spans="1:1" x14ac:dyDescent="0.3">
      <c r="A109" s="4">
        <v>42</v>
      </c>
    </row>
    <row r="110" spans="1:1" x14ac:dyDescent="0.3">
      <c r="A110" s="4">
        <v>237</v>
      </c>
    </row>
    <row r="111" spans="1:1" x14ac:dyDescent="0.3">
      <c r="A111" s="4">
        <v>322</v>
      </c>
    </row>
    <row r="112" spans="1:1" x14ac:dyDescent="0.3">
      <c r="A112" s="4">
        <v>27</v>
      </c>
    </row>
    <row r="113" spans="1:1" x14ac:dyDescent="0.3">
      <c r="A113" s="4">
        <v>58</v>
      </c>
    </row>
    <row r="114" spans="1:1" x14ac:dyDescent="0.3">
      <c r="A114" s="4">
        <v>177</v>
      </c>
    </row>
    <row r="115" spans="1:1" x14ac:dyDescent="0.3">
      <c r="A115" s="4">
        <v>37</v>
      </c>
    </row>
    <row r="116" spans="1:1" x14ac:dyDescent="0.3">
      <c r="A116" s="4">
        <v>99</v>
      </c>
    </row>
    <row r="117" spans="1:1" x14ac:dyDescent="0.3">
      <c r="A117" s="4">
        <v>73</v>
      </c>
    </row>
    <row r="118" spans="1:1" x14ac:dyDescent="0.3">
      <c r="A118" s="4">
        <v>32</v>
      </c>
    </row>
    <row r="119" spans="1:1" x14ac:dyDescent="0.3">
      <c r="A119" s="4">
        <v>279</v>
      </c>
    </row>
    <row r="120" spans="1:1" x14ac:dyDescent="0.3">
      <c r="A120" s="4">
        <v>60</v>
      </c>
    </row>
    <row r="121" spans="1:1" x14ac:dyDescent="0.3">
      <c r="A121" s="4">
        <v>36</v>
      </c>
    </row>
    <row r="122" spans="1:1" x14ac:dyDescent="0.3">
      <c r="A122" s="4">
        <v>199</v>
      </c>
    </row>
    <row r="123" spans="1:1" x14ac:dyDescent="0.3">
      <c r="A123" s="4">
        <v>177</v>
      </c>
    </row>
    <row r="124" spans="1:1" x14ac:dyDescent="0.3">
      <c r="A124" s="4">
        <v>232</v>
      </c>
    </row>
    <row r="125" spans="1:1" x14ac:dyDescent="0.3">
      <c r="A125" s="4">
        <v>65</v>
      </c>
    </row>
    <row r="126" spans="1:1" x14ac:dyDescent="0.3">
      <c r="A126" s="4">
        <v>88</v>
      </c>
    </row>
    <row r="127" spans="1:1" x14ac:dyDescent="0.3">
      <c r="A127" s="4">
        <v>63</v>
      </c>
    </row>
    <row r="128" spans="1:1" x14ac:dyDescent="0.3">
      <c r="A128" s="4">
        <v>264</v>
      </c>
    </row>
    <row r="129" spans="1:1" x14ac:dyDescent="0.3">
      <c r="A129" s="4">
        <v>96</v>
      </c>
    </row>
    <row r="130" spans="1:1" x14ac:dyDescent="0.3">
      <c r="A130" s="4">
        <v>90</v>
      </c>
    </row>
    <row r="131" spans="1:1" x14ac:dyDescent="0.3">
      <c r="A131" s="4">
        <v>75</v>
      </c>
    </row>
    <row r="132" spans="1:1" x14ac:dyDescent="0.3">
      <c r="A132" s="4">
        <v>94</v>
      </c>
    </row>
    <row r="133" spans="1:1" x14ac:dyDescent="0.3">
      <c r="A133" s="4">
        <v>142</v>
      </c>
    </row>
    <row r="134" spans="1:1" x14ac:dyDescent="0.3">
      <c r="A134" s="4">
        <v>370</v>
      </c>
    </row>
    <row r="135" spans="1:1" x14ac:dyDescent="0.3">
      <c r="A135" s="4">
        <v>88</v>
      </c>
    </row>
    <row r="136" spans="1:1" x14ac:dyDescent="0.3">
      <c r="A136" s="4">
        <v>96</v>
      </c>
    </row>
    <row r="137" spans="1:1" x14ac:dyDescent="0.3">
      <c r="A137" s="4">
        <v>56</v>
      </c>
    </row>
    <row r="138" spans="1:1" x14ac:dyDescent="0.3">
      <c r="A138" s="4">
        <v>407</v>
      </c>
    </row>
    <row r="139" spans="1:1" x14ac:dyDescent="0.3">
      <c r="A139" s="4">
        <v>150</v>
      </c>
    </row>
    <row r="140" spans="1:1" x14ac:dyDescent="0.3">
      <c r="A140" s="4">
        <v>62</v>
      </c>
    </row>
    <row r="141" spans="1:1" x14ac:dyDescent="0.3">
      <c r="A141" s="4">
        <v>37</v>
      </c>
    </row>
    <row r="142" spans="1:1" x14ac:dyDescent="0.3">
      <c r="A142" s="4">
        <v>115</v>
      </c>
    </row>
    <row r="143" spans="1:1" x14ac:dyDescent="0.3">
      <c r="A143" s="4">
        <v>67</v>
      </c>
    </row>
    <row r="144" spans="1:1" x14ac:dyDescent="0.3">
      <c r="A144" s="4">
        <v>45</v>
      </c>
    </row>
    <row r="145" spans="1:1" x14ac:dyDescent="0.3">
      <c r="A145" s="4">
        <v>97</v>
      </c>
    </row>
    <row r="146" spans="1:1" x14ac:dyDescent="0.3">
      <c r="A146" s="4">
        <v>85</v>
      </c>
    </row>
    <row r="147" spans="1:1" x14ac:dyDescent="0.3">
      <c r="A147" s="4">
        <v>45</v>
      </c>
    </row>
    <row r="148" spans="1:1" x14ac:dyDescent="0.3">
      <c r="A148" s="4">
        <v>388</v>
      </c>
    </row>
    <row r="149" spans="1:1" x14ac:dyDescent="0.3">
      <c r="A149" s="4">
        <v>70</v>
      </c>
    </row>
    <row r="150" spans="1:1" x14ac:dyDescent="0.3">
      <c r="A150" s="4">
        <v>334</v>
      </c>
    </row>
    <row r="151" spans="1:1" x14ac:dyDescent="0.3">
      <c r="A151" s="4">
        <v>184</v>
      </c>
    </row>
    <row r="152" spans="1:1" x14ac:dyDescent="0.3">
      <c r="A152" s="4">
        <v>366</v>
      </c>
    </row>
    <row r="153" spans="1:1" x14ac:dyDescent="0.3">
      <c r="A153" s="4">
        <v>29</v>
      </c>
    </row>
    <row r="154" spans="1:1" x14ac:dyDescent="0.3">
      <c r="A154" s="4">
        <v>46</v>
      </c>
    </row>
    <row r="155" spans="1:1" x14ac:dyDescent="0.3">
      <c r="A155" s="4">
        <v>329</v>
      </c>
    </row>
    <row r="156" spans="1:1" x14ac:dyDescent="0.3">
      <c r="A156" s="4">
        <v>62</v>
      </c>
    </row>
    <row r="157" spans="1:1" x14ac:dyDescent="0.3">
      <c r="A157" s="4">
        <v>108</v>
      </c>
    </row>
    <row r="158" spans="1:1" x14ac:dyDescent="0.3">
      <c r="A158" s="4">
        <v>47</v>
      </c>
    </row>
    <row r="159" spans="1:1" x14ac:dyDescent="0.3">
      <c r="A159" s="4">
        <v>78</v>
      </c>
    </row>
    <row r="160" spans="1:1" x14ac:dyDescent="0.3">
      <c r="A160" s="4">
        <v>357</v>
      </c>
    </row>
    <row r="161" spans="1:1" x14ac:dyDescent="0.3">
      <c r="A161" s="4">
        <v>135</v>
      </c>
    </row>
    <row r="162" spans="1:1" x14ac:dyDescent="0.3">
      <c r="A162" s="4">
        <v>402</v>
      </c>
    </row>
    <row r="163" spans="1:1" x14ac:dyDescent="0.3">
      <c r="A163" s="4">
        <v>214</v>
      </c>
    </row>
    <row r="164" spans="1:1" x14ac:dyDescent="0.3">
      <c r="A164" s="4">
        <v>77</v>
      </c>
    </row>
    <row r="165" spans="1:1" x14ac:dyDescent="0.3">
      <c r="A165" s="4">
        <v>137</v>
      </c>
    </row>
    <row r="166" spans="1:1" x14ac:dyDescent="0.3">
      <c r="A166" s="4">
        <v>75</v>
      </c>
    </row>
    <row r="167" spans="1:1" x14ac:dyDescent="0.3">
      <c r="A167" s="4">
        <v>137</v>
      </c>
    </row>
    <row r="168" spans="1:1" x14ac:dyDescent="0.3">
      <c r="A168" s="4">
        <v>39</v>
      </c>
    </row>
    <row r="169" spans="1:1" x14ac:dyDescent="0.3">
      <c r="A169" s="4">
        <v>122</v>
      </c>
    </row>
    <row r="170" spans="1:1" x14ac:dyDescent="0.3">
      <c r="A170" s="4">
        <v>205</v>
      </c>
    </row>
    <row r="171" spans="1:1" x14ac:dyDescent="0.3">
      <c r="A171" s="4">
        <v>93</v>
      </c>
    </row>
    <row r="172" spans="1:1" x14ac:dyDescent="0.3">
      <c r="A172" s="4">
        <v>84</v>
      </c>
    </row>
    <row r="173" spans="1:1" x14ac:dyDescent="0.3">
      <c r="A173" s="4">
        <v>40</v>
      </c>
    </row>
    <row r="174" spans="1:1" x14ac:dyDescent="0.3">
      <c r="A174" s="4">
        <v>140</v>
      </c>
    </row>
    <row r="175" spans="1:1" x14ac:dyDescent="0.3">
      <c r="A175" s="4">
        <v>206</v>
      </c>
    </row>
    <row r="176" spans="1:1" x14ac:dyDescent="0.3">
      <c r="A176" s="4">
        <v>101</v>
      </c>
    </row>
    <row r="177" spans="1:1" x14ac:dyDescent="0.3">
      <c r="A177" s="4">
        <v>15</v>
      </c>
    </row>
    <row r="178" spans="1:1" x14ac:dyDescent="0.3">
      <c r="A178" s="4">
        <v>275</v>
      </c>
    </row>
    <row r="179" spans="1:1" x14ac:dyDescent="0.3">
      <c r="A179" s="4">
        <v>270</v>
      </c>
    </row>
    <row r="180" spans="1:1" x14ac:dyDescent="0.3">
      <c r="A180" s="4">
        <v>34</v>
      </c>
    </row>
    <row r="181" spans="1:1" x14ac:dyDescent="0.3">
      <c r="A181" s="4">
        <v>40</v>
      </c>
    </row>
    <row r="182" spans="1:1" x14ac:dyDescent="0.3">
      <c r="A182" s="4">
        <v>55</v>
      </c>
    </row>
    <row r="183" spans="1:1" x14ac:dyDescent="0.3">
      <c r="A183" s="4">
        <v>149</v>
      </c>
    </row>
    <row r="184" spans="1:1" x14ac:dyDescent="0.3">
      <c r="A184" s="4">
        <v>190</v>
      </c>
    </row>
    <row r="185" spans="1:1" x14ac:dyDescent="0.3">
      <c r="A185" s="4">
        <v>162</v>
      </c>
    </row>
    <row r="186" spans="1:1" x14ac:dyDescent="0.3">
      <c r="A186" s="4">
        <v>203</v>
      </c>
    </row>
    <row r="187" spans="1:1" x14ac:dyDescent="0.3">
      <c r="A187" s="4">
        <v>18</v>
      </c>
    </row>
    <row r="188" spans="1:1" x14ac:dyDescent="0.3">
      <c r="A188" s="4">
        <v>310</v>
      </c>
    </row>
    <row r="189" spans="1:1" x14ac:dyDescent="0.3">
      <c r="A189" s="4">
        <v>117</v>
      </c>
    </row>
    <row r="190" spans="1:1" x14ac:dyDescent="0.3">
      <c r="A190" s="4">
        <v>164</v>
      </c>
    </row>
    <row r="191" spans="1:1" x14ac:dyDescent="0.3">
      <c r="A191" s="4">
        <v>43</v>
      </c>
    </row>
    <row r="192" spans="1:1" x14ac:dyDescent="0.3">
      <c r="A192" s="4">
        <v>21</v>
      </c>
    </row>
    <row r="193" spans="1:1" x14ac:dyDescent="0.3">
      <c r="A193" s="4">
        <v>85</v>
      </c>
    </row>
    <row r="194" spans="1:1" x14ac:dyDescent="0.3">
      <c r="A194" s="4">
        <v>14</v>
      </c>
    </row>
    <row r="195" spans="1:1" x14ac:dyDescent="0.3">
      <c r="A195" s="4">
        <v>140</v>
      </c>
    </row>
    <row r="196" spans="1:1" x14ac:dyDescent="0.3">
      <c r="A196" s="4">
        <v>292</v>
      </c>
    </row>
    <row r="197" spans="1:1" x14ac:dyDescent="0.3">
      <c r="A197" s="4">
        <v>99</v>
      </c>
    </row>
    <row r="198" spans="1:1" x14ac:dyDescent="0.3">
      <c r="A198" s="4">
        <v>67</v>
      </c>
    </row>
    <row r="199" spans="1:1" x14ac:dyDescent="0.3">
      <c r="A199" s="4">
        <v>69</v>
      </c>
    </row>
    <row r="200" spans="1:1" x14ac:dyDescent="0.3">
      <c r="A200" s="4">
        <v>114</v>
      </c>
    </row>
    <row r="201" spans="1:1" x14ac:dyDescent="0.3">
      <c r="A201" s="4">
        <v>133</v>
      </c>
    </row>
    <row r="202" spans="1:1" x14ac:dyDescent="0.3">
      <c r="A202" s="4">
        <v>23</v>
      </c>
    </row>
    <row r="203" spans="1:1" x14ac:dyDescent="0.3">
      <c r="A203" s="4">
        <v>52</v>
      </c>
    </row>
    <row r="204" spans="1:1" x14ac:dyDescent="0.3">
      <c r="A204" s="4">
        <v>9</v>
      </c>
    </row>
    <row r="205" spans="1:1" x14ac:dyDescent="0.3">
      <c r="A205" s="4">
        <v>227</v>
      </c>
    </row>
    <row r="206" spans="1:1" x14ac:dyDescent="0.3">
      <c r="A206" s="4">
        <v>46</v>
      </c>
    </row>
    <row r="207" spans="1:1" x14ac:dyDescent="0.3">
      <c r="A207" s="4">
        <v>186</v>
      </c>
    </row>
    <row r="208" spans="1:1" x14ac:dyDescent="0.3">
      <c r="A208" s="4">
        <v>281</v>
      </c>
    </row>
    <row r="209" spans="1:1" x14ac:dyDescent="0.3">
      <c r="A209" s="4">
        <v>115</v>
      </c>
    </row>
    <row r="210" spans="1:1" x14ac:dyDescent="0.3">
      <c r="A210" s="4">
        <v>134</v>
      </c>
    </row>
    <row r="211" spans="1:1" x14ac:dyDescent="0.3">
      <c r="A211" s="4">
        <v>25</v>
      </c>
    </row>
    <row r="212" spans="1:1" x14ac:dyDescent="0.3">
      <c r="A212" s="4">
        <v>33</v>
      </c>
    </row>
    <row r="213" spans="1:1" x14ac:dyDescent="0.3">
      <c r="A213" s="4">
        <v>47</v>
      </c>
    </row>
    <row r="214" spans="1:1" x14ac:dyDescent="0.3">
      <c r="A214" s="4">
        <v>212</v>
      </c>
    </row>
    <row r="215" spans="1:1" x14ac:dyDescent="0.3">
      <c r="A215" s="4">
        <v>126</v>
      </c>
    </row>
    <row r="216" spans="1:1" x14ac:dyDescent="0.3">
      <c r="A216" s="4">
        <v>412</v>
      </c>
    </row>
    <row r="217" spans="1:1" x14ac:dyDescent="0.3">
      <c r="A217" s="4">
        <v>69</v>
      </c>
    </row>
    <row r="218" spans="1:1" x14ac:dyDescent="0.3">
      <c r="A218" s="4">
        <v>242</v>
      </c>
    </row>
    <row r="219" spans="1:1" x14ac:dyDescent="0.3">
      <c r="A219" s="4">
        <v>88</v>
      </c>
    </row>
    <row r="220" spans="1:1" x14ac:dyDescent="0.3">
      <c r="A220" s="4">
        <v>124</v>
      </c>
    </row>
    <row r="221" spans="1:1" x14ac:dyDescent="0.3">
      <c r="A221" s="4">
        <v>138</v>
      </c>
    </row>
    <row r="222" spans="1:1" x14ac:dyDescent="0.3">
      <c r="A222" s="4">
        <v>88</v>
      </c>
    </row>
    <row r="223" spans="1:1" x14ac:dyDescent="0.3">
      <c r="A223" s="4">
        <v>58</v>
      </c>
    </row>
    <row r="224" spans="1:1" x14ac:dyDescent="0.3">
      <c r="A224" s="4">
        <v>59</v>
      </c>
    </row>
    <row r="225" spans="1:1" x14ac:dyDescent="0.3">
      <c r="A225" s="4">
        <v>129</v>
      </c>
    </row>
    <row r="226" spans="1:1" x14ac:dyDescent="0.3">
      <c r="A226" s="4">
        <v>269</v>
      </c>
    </row>
    <row r="227" spans="1:1" x14ac:dyDescent="0.3">
      <c r="A227" s="4">
        <v>157</v>
      </c>
    </row>
    <row r="228" spans="1:1" x14ac:dyDescent="0.3">
      <c r="A228" s="4">
        <v>31</v>
      </c>
    </row>
    <row r="229" spans="1:1" x14ac:dyDescent="0.3">
      <c r="A229" s="4">
        <v>62</v>
      </c>
    </row>
    <row r="230" spans="1:1" x14ac:dyDescent="0.3">
      <c r="A230" s="4">
        <v>185</v>
      </c>
    </row>
    <row r="231" spans="1:1" x14ac:dyDescent="0.3">
      <c r="A231" s="4">
        <v>82</v>
      </c>
    </row>
    <row r="232" spans="1:1" x14ac:dyDescent="0.3">
      <c r="A232" s="4">
        <v>118</v>
      </c>
    </row>
    <row r="233" spans="1:1" x14ac:dyDescent="0.3">
      <c r="A233" s="4">
        <v>398</v>
      </c>
    </row>
    <row r="234" spans="1:1" x14ac:dyDescent="0.3">
      <c r="A234" s="4">
        <v>267</v>
      </c>
    </row>
    <row r="235" spans="1:1" x14ac:dyDescent="0.3">
      <c r="A235" s="4">
        <v>59</v>
      </c>
    </row>
    <row r="236" spans="1:1" x14ac:dyDescent="0.3">
      <c r="A236" s="4">
        <v>83</v>
      </c>
    </row>
    <row r="237" spans="1:1" x14ac:dyDescent="0.3">
      <c r="A237" s="4">
        <v>174</v>
      </c>
    </row>
    <row r="238" spans="1:1" x14ac:dyDescent="0.3">
      <c r="A238" s="4">
        <v>247</v>
      </c>
    </row>
    <row r="239" spans="1:1" x14ac:dyDescent="0.3">
      <c r="A239" s="4">
        <v>116</v>
      </c>
    </row>
    <row r="240" spans="1:1" x14ac:dyDescent="0.3">
      <c r="A240" s="4">
        <v>362</v>
      </c>
    </row>
    <row r="241" spans="1:1" x14ac:dyDescent="0.3">
      <c r="A241" s="4">
        <v>182</v>
      </c>
    </row>
    <row r="242" spans="1:1" x14ac:dyDescent="0.3">
      <c r="A242" s="4">
        <v>101</v>
      </c>
    </row>
    <row r="243" spans="1:1" x14ac:dyDescent="0.3">
      <c r="A243" s="4">
        <v>127</v>
      </c>
    </row>
    <row r="244" spans="1:1" x14ac:dyDescent="0.3">
      <c r="A244" s="4">
        <v>23</v>
      </c>
    </row>
    <row r="245" spans="1:1" x14ac:dyDescent="0.3">
      <c r="A245" s="4">
        <v>423</v>
      </c>
    </row>
    <row r="246" spans="1:1" x14ac:dyDescent="0.3">
      <c r="A246" s="4">
        <v>243</v>
      </c>
    </row>
    <row r="247" spans="1:1" x14ac:dyDescent="0.3">
      <c r="A247" s="4">
        <v>71</v>
      </c>
    </row>
    <row r="248" spans="1:1" x14ac:dyDescent="0.3">
      <c r="A248" s="4">
        <v>303</v>
      </c>
    </row>
    <row r="249" spans="1:1" x14ac:dyDescent="0.3">
      <c r="A249" s="4">
        <v>45</v>
      </c>
    </row>
    <row r="250" spans="1:1" x14ac:dyDescent="0.3">
      <c r="A250" s="4">
        <v>22</v>
      </c>
    </row>
    <row r="251" spans="1:1" x14ac:dyDescent="0.3">
      <c r="A251" s="4">
        <v>334</v>
      </c>
    </row>
    <row r="252" spans="1:1" x14ac:dyDescent="0.3">
      <c r="A252" s="4">
        <v>110</v>
      </c>
    </row>
    <row r="253" spans="1:1" x14ac:dyDescent="0.3">
      <c r="A253" s="4">
        <v>83</v>
      </c>
    </row>
    <row r="254" spans="1:1" x14ac:dyDescent="0.3">
      <c r="A254" s="4">
        <v>150</v>
      </c>
    </row>
    <row r="255" spans="1:1" x14ac:dyDescent="0.3">
      <c r="A255" s="4">
        <v>201</v>
      </c>
    </row>
    <row r="256" spans="1:1" x14ac:dyDescent="0.3">
      <c r="A256" s="4">
        <v>166</v>
      </c>
    </row>
    <row r="257" spans="1:1" x14ac:dyDescent="0.3">
      <c r="A257" s="4">
        <v>18</v>
      </c>
    </row>
    <row r="258" spans="1:1" x14ac:dyDescent="0.3">
      <c r="A258" s="4">
        <v>62</v>
      </c>
    </row>
    <row r="259" spans="1:1" x14ac:dyDescent="0.3">
      <c r="A259" s="4">
        <v>42</v>
      </c>
    </row>
    <row r="260" spans="1:1" x14ac:dyDescent="0.3">
      <c r="A260" s="4">
        <v>125</v>
      </c>
    </row>
    <row r="261" spans="1:1" x14ac:dyDescent="0.3">
      <c r="A261" s="4">
        <v>322</v>
      </c>
    </row>
    <row r="262" spans="1:1" x14ac:dyDescent="0.3">
      <c r="A262" s="4">
        <v>34</v>
      </c>
    </row>
    <row r="263" spans="1:1" x14ac:dyDescent="0.3">
      <c r="A263" s="4">
        <v>234</v>
      </c>
    </row>
    <row r="264" spans="1:1" x14ac:dyDescent="0.3">
      <c r="A264" s="4">
        <v>59</v>
      </c>
    </row>
    <row r="265" spans="1:1" x14ac:dyDescent="0.3">
      <c r="A265" s="4">
        <v>170</v>
      </c>
    </row>
    <row r="266" spans="1:1" x14ac:dyDescent="0.3">
      <c r="A266" s="4">
        <v>109</v>
      </c>
    </row>
    <row r="267" spans="1:1" x14ac:dyDescent="0.3">
      <c r="A267" s="4">
        <v>169</v>
      </c>
    </row>
    <row r="268" spans="1:1" x14ac:dyDescent="0.3">
      <c r="A268" s="4">
        <v>274</v>
      </c>
    </row>
    <row r="269" spans="1:1" x14ac:dyDescent="0.3">
      <c r="A269" s="4">
        <v>42</v>
      </c>
    </row>
    <row r="270" spans="1:1" x14ac:dyDescent="0.3">
      <c r="A270" s="4">
        <v>29</v>
      </c>
    </row>
    <row r="271" spans="1:1" x14ac:dyDescent="0.3">
      <c r="A271" s="4">
        <v>129</v>
      </c>
    </row>
    <row r="272" spans="1:1" x14ac:dyDescent="0.3">
      <c r="A272" s="4">
        <v>351</v>
      </c>
    </row>
    <row r="273" spans="1:1" x14ac:dyDescent="0.3">
      <c r="A273" s="4">
        <v>23</v>
      </c>
    </row>
    <row r="274" spans="1:1" x14ac:dyDescent="0.3">
      <c r="A274" s="4">
        <v>16</v>
      </c>
    </row>
    <row r="275" spans="1:1" x14ac:dyDescent="0.3">
      <c r="A275" s="4">
        <v>135</v>
      </c>
    </row>
    <row r="276" spans="1:1" x14ac:dyDescent="0.3">
      <c r="A276" s="4">
        <v>224</v>
      </c>
    </row>
    <row r="277" spans="1:1" x14ac:dyDescent="0.3">
      <c r="A277" s="4">
        <v>48</v>
      </c>
    </row>
    <row r="278" spans="1:1" x14ac:dyDescent="0.3">
      <c r="A278" s="4">
        <v>116</v>
      </c>
    </row>
    <row r="279" spans="1:1" x14ac:dyDescent="0.3">
      <c r="A279" s="4">
        <v>159</v>
      </c>
    </row>
    <row r="280" spans="1:1" x14ac:dyDescent="0.3">
      <c r="A280" s="4">
        <v>135</v>
      </c>
    </row>
    <row r="281" spans="1:1" x14ac:dyDescent="0.3">
      <c r="A281" s="4">
        <v>75</v>
      </c>
    </row>
    <row r="282" spans="1:1" x14ac:dyDescent="0.3">
      <c r="A282" s="4">
        <v>40</v>
      </c>
    </row>
    <row r="283" spans="1:1" x14ac:dyDescent="0.3">
      <c r="A283" s="4">
        <v>177</v>
      </c>
    </row>
    <row r="284" spans="1:1" x14ac:dyDescent="0.3">
      <c r="A284" s="4">
        <v>327</v>
      </c>
    </row>
    <row r="285" spans="1:1" x14ac:dyDescent="0.3">
      <c r="A285" s="4">
        <v>246</v>
      </c>
    </row>
    <row r="286" spans="1:1" x14ac:dyDescent="0.3">
      <c r="A286" s="4">
        <v>96</v>
      </c>
    </row>
    <row r="287" spans="1:1" x14ac:dyDescent="0.3">
      <c r="A287" s="4">
        <v>35</v>
      </c>
    </row>
    <row r="288" spans="1:1" x14ac:dyDescent="0.3">
      <c r="A288" s="4">
        <v>67</v>
      </c>
    </row>
    <row r="289" spans="1:1" x14ac:dyDescent="0.3">
      <c r="A289" s="4">
        <v>38</v>
      </c>
    </row>
    <row r="290" spans="1:1" x14ac:dyDescent="0.3">
      <c r="A290" s="4">
        <v>280</v>
      </c>
    </row>
    <row r="291" spans="1:1" x14ac:dyDescent="0.3">
      <c r="A291" s="4">
        <v>122</v>
      </c>
    </row>
    <row r="292" spans="1:1" x14ac:dyDescent="0.3">
      <c r="A292" s="4">
        <v>39</v>
      </c>
    </row>
    <row r="293" spans="1:1" x14ac:dyDescent="0.3">
      <c r="A293" s="4">
        <v>122</v>
      </c>
    </row>
    <row r="294" spans="1:1" x14ac:dyDescent="0.3">
      <c r="A294" s="4">
        <v>287</v>
      </c>
    </row>
    <row r="295" spans="1:1" x14ac:dyDescent="0.3">
      <c r="A295" s="4">
        <v>132</v>
      </c>
    </row>
    <row r="296" spans="1:1" x14ac:dyDescent="0.3">
      <c r="A296" s="4">
        <v>339</v>
      </c>
    </row>
    <row r="297" spans="1:1" x14ac:dyDescent="0.3">
      <c r="A297" s="4">
        <v>139</v>
      </c>
    </row>
    <row r="298" spans="1:1" x14ac:dyDescent="0.3">
      <c r="A298" s="4">
        <v>60</v>
      </c>
    </row>
    <row r="299" spans="1:1" x14ac:dyDescent="0.3">
      <c r="A299" s="4">
        <v>109</v>
      </c>
    </row>
    <row r="300" spans="1:1" x14ac:dyDescent="0.3">
      <c r="A300" s="4">
        <v>157</v>
      </c>
    </row>
    <row r="301" spans="1:1" x14ac:dyDescent="0.3">
      <c r="A301" s="4">
        <v>412</v>
      </c>
    </row>
    <row r="302" spans="1:1" x14ac:dyDescent="0.3">
      <c r="A302" s="4">
        <v>236</v>
      </c>
    </row>
    <row r="303" spans="1:1" x14ac:dyDescent="0.3">
      <c r="A303" s="4">
        <v>56</v>
      </c>
    </row>
    <row r="304" spans="1:1" x14ac:dyDescent="0.3">
      <c r="A304" s="4">
        <v>9</v>
      </c>
    </row>
    <row r="305" spans="1:1" x14ac:dyDescent="0.3">
      <c r="A305" s="4">
        <v>17</v>
      </c>
    </row>
    <row r="306" spans="1:1" x14ac:dyDescent="0.3">
      <c r="A306" s="4">
        <v>215</v>
      </c>
    </row>
    <row r="307" spans="1:1" x14ac:dyDescent="0.3">
      <c r="A307" s="4">
        <v>54</v>
      </c>
    </row>
    <row r="308" spans="1:1" x14ac:dyDescent="0.3">
      <c r="A308" s="4">
        <v>58</v>
      </c>
    </row>
    <row r="309" spans="1:1" x14ac:dyDescent="0.3">
      <c r="A309" s="4">
        <v>81</v>
      </c>
    </row>
    <row r="310" spans="1:1" x14ac:dyDescent="0.3">
      <c r="A310" s="4">
        <v>373</v>
      </c>
    </row>
    <row r="311" spans="1:1" x14ac:dyDescent="0.3">
      <c r="A311" s="4">
        <v>111</v>
      </c>
    </row>
    <row r="312" spans="1:1" x14ac:dyDescent="0.3">
      <c r="A312" s="4">
        <v>70</v>
      </c>
    </row>
    <row r="313" spans="1:1" x14ac:dyDescent="0.3">
      <c r="A313" s="4">
        <v>81</v>
      </c>
    </row>
    <row r="314" spans="1:1" x14ac:dyDescent="0.3">
      <c r="A314" s="4">
        <v>52</v>
      </c>
    </row>
    <row r="315" spans="1:1" x14ac:dyDescent="0.3">
      <c r="A315" s="4">
        <v>243</v>
      </c>
    </row>
    <row r="316" spans="1:1" x14ac:dyDescent="0.3">
      <c r="A316" s="4">
        <v>44</v>
      </c>
    </row>
    <row r="317" spans="1:1" x14ac:dyDescent="0.3">
      <c r="A317" s="4">
        <v>145</v>
      </c>
    </row>
    <row r="318" spans="1:1" x14ac:dyDescent="0.3">
      <c r="A318" s="4">
        <v>205</v>
      </c>
    </row>
    <row r="319" spans="1:1" x14ac:dyDescent="0.3">
      <c r="A319" s="4">
        <v>301</v>
      </c>
    </row>
    <row r="320" spans="1:1" x14ac:dyDescent="0.3">
      <c r="A320" s="4">
        <v>48</v>
      </c>
    </row>
    <row r="321" spans="1:1" x14ac:dyDescent="0.3">
      <c r="A321" s="4">
        <v>46</v>
      </c>
    </row>
    <row r="322" spans="1:1" x14ac:dyDescent="0.3">
      <c r="A322" s="4">
        <v>129</v>
      </c>
    </row>
    <row r="323" spans="1:1" x14ac:dyDescent="0.3">
      <c r="A323" s="4">
        <v>164</v>
      </c>
    </row>
    <row r="324" spans="1:1" x14ac:dyDescent="0.3">
      <c r="A324" s="4">
        <v>96</v>
      </c>
    </row>
    <row r="325" spans="1:1" x14ac:dyDescent="0.3">
      <c r="A325" s="4">
        <v>296</v>
      </c>
    </row>
    <row r="326" spans="1:1" x14ac:dyDescent="0.3">
      <c r="A326" s="4">
        <v>10</v>
      </c>
    </row>
    <row r="327" spans="1:1" x14ac:dyDescent="0.3">
      <c r="A327" s="4">
        <v>26</v>
      </c>
    </row>
    <row r="328" spans="1:1" x14ac:dyDescent="0.3">
      <c r="A328" s="4">
        <v>52</v>
      </c>
    </row>
    <row r="329" spans="1:1" x14ac:dyDescent="0.3">
      <c r="A329" s="4">
        <v>178</v>
      </c>
    </row>
    <row r="330" spans="1:1" x14ac:dyDescent="0.3">
      <c r="A330" s="4">
        <v>101</v>
      </c>
    </row>
    <row r="331" spans="1:1" x14ac:dyDescent="0.3">
      <c r="A331" s="4">
        <v>382</v>
      </c>
    </row>
    <row r="332" spans="1:1" x14ac:dyDescent="0.3">
      <c r="A332" s="4">
        <v>36</v>
      </c>
    </row>
    <row r="333" spans="1:1" x14ac:dyDescent="0.3">
      <c r="A333" s="4">
        <v>238</v>
      </c>
    </row>
    <row r="334" spans="1:1" x14ac:dyDescent="0.3">
      <c r="A334" s="4">
        <v>199</v>
      </c>
    </row>
    <row r="335" spans="1:1" x14ac:dyDescent="0.3">
      <c r="A335" s="4">
        <v>35</v>
      </c>
    </row>
    <row r="336" spans="1:1" x14ac:dyDescent="0.3">
      <c r="A336" s="4">
        <v>197</v>
      </c>
    </row>
    <row r="337" spans="1:1" x14ac:dyDescent="0.3">
      <c r="A337" s="4">
        <v>55</v>
      </c>
    </row>
    <row r="338" spans="1:1" x14ac:dyDescent="0.3">
      <c r="A338" s="4">
        <v>61</v>
      </c>
    </row>
    <row r="339" spans="1:1" x14ac:dyDescent="0.3">
      <c r="A339" s="4">
        <v>105</v>
      </c>
    </row>
    <row r="340" spans="1:1" x14ac:dyDescent="0.3">
      <c r="A340" s="4">
        <v>95</v>
      </c>
    </row>
    <row r="341" spans="1:1" x14ac:dyDescent="0.3">
      <c r="A341" s="4">
        <v>231</v>
      </c>
    </row>
    <row r="342" spans="1:1" x14ac:dyDescent="0.3">
      <c r="A342" s="4">
        <v>57</v>
      </c>
    </row>
    <row r="343" spans="1:1" x14ac:dyDescent="0.3">
      <c r="A343" s="4">
        <v>47</v>
      </c>
    </row>
    <row r="344" spans="1:1" x14ac:dyDescent="0.3">
      <c r="A344" s="4">
        <v>103</v>
      </c>
    </row>
    <row r="345" spans="1:1" x14ac:dyDescent="0.3">
      <c r="A345" s="4">
        <v>36</v>
      </c>
    </row>
    <row r="346" spans="1:1" x14ac:dyDescent="0.3">
      <c r="A346" s="4">
        <v>21</v>
      </c>
    </row>
    <row r="347" spans="1:1" x14ac:dyDescent="0.3">
      <c r="A347" s="4">
        <v>161</v>
      </c>
    </row>
    <row r="348" spans="1:1" x14ac:dyDescent="0.3">
      <c r="A348" s="4">
        <v>145</v>
      </c>
    </row>
    <row r="349" spans="1:1" x14ac:dyDescent="0.3">
      <c r="A349" s="4">
        <v>71</v>
      </c>
    </row>
    <row r="350" spans="1:1" x14ac:dyDescent="0.3">
      <c r="A350" s="4">
        <v>3</v>
      </c>
    </row>
    <row r="351" spans="1:1" x14ac:dyDescent="0.3">
      <c r="A351" s="4">
        <v>11</v>
      </c>
    </row>
    <row r="352" spans="1:1" x14ac:dyDescent="0.3">
      <c r="A352" s="4">
        <v>100</v>
      </c>
    </row>
    <row r="353" spans="1:1" x14ac:dyDescent="0.3">
      <c r="A353" s="4">
        <v>51</v>
      </c>
    </row>
    <row r="354" spans="1:1" x14ac:dyDescent="0.3">
      <c r="A354" s="4">
        <v>106</v>
      </c>
    </row>
    <row r="355" spans="1:1" x14ac:dyDescent="0.3">
      <c r="A355" s="4">
        <v>206</v>
      </c>
    </row>
    <row r="356" spans="1:1" x14ac:dyDescent="0.3">
      <c r="A356" s="4">
        <v>275</v>
      </c>
    </row>
    <row r="357" spans="1:1" x14ac:dyDescent="0.3">
      <c r="A357" s="4">
        <v>204</v>
      </c>
    </row>
    <row r="358" spans="1:1" x14ac:dyDescent="0.3">
      <c r="A358" s="4">
        <v>308</v>
      </c>
    </row>
    <row r="359" spans="1:1" x14ac:dyDescent="0.3">
      <c r="A359" s="4">
        <v>11</v>
      </c>
    </row>
    <row r="360" spans="1:1" x14ac:dyDescent="0.3">
      <c r="A360" s="4">
        <v>117</v>
      </c>
    </row>
    <row r="361" spans="1:1" x14ac:dyDescent="0.3">
      <c r="A361" s="4">
        <v>57</v>
      </c>
    </row>
    <row r="362" spans="1:1" x14ac:dyDescent="0.3">
      <c r="A362" s="4">
        <v>39</v>
      </c>
    </row>
    <row r="363" spans="1:1" x14ac:dyDescent="0.3">
      <c r="A363" s="4">
        <v>359</v>
      </c>
    </row>
    <row r="364" spans="1:1" x14ac:dyDescent="0.3">
      <c r="A364" s="4">
        <v>119</v>
      </c>
    </row>
    <row r="365" spans="1:1" x14ac:dyDescent="0.3">
      <c r="A365" s="4">
        <v>195</v>
      </c>
    </row>
    <row r="366" spans="1:1" x14ac:dyDescent="0.3">
      <c r="A366" s="4">
        <v>132</v>
      </c>
    </row>
    <row r="367" spans="1:1" x14ac:dyDescent="0.3">
      <c r="A367" s="4">
        <v>235</v>
      </c>
    </row>
    <row r="368" spans="1:1" x14ac:dyDescent="0.3">
      <c r="A368" s="4">
        <v>61</v>
      </c>
    </row>
    <row r="369" spans="1:1" x14ac:dyDescent="0.3">
      <c r="A369" s="4">
        <v>44</v>
      </c>
    </row>
    <row r="370" spans="1:1" x14ac:dyDescent="0.3">
      <c r="A370" s="4">
        <v>53</v>
      </c>
    </row>
    <row r="371" spans="1:1" x14ac:dyDescent="0.3">
      <c r="A371" s="4">
        <v>21</v>
      </c>
    </row>
    <row r="372" spans="1:1" x14ac:dyDescent="0.3">
      <c r="A372" s="4">
        <v>179</v>
      </c>
    </row>
    <row r="373" spans="1:1" x14ac:dyDescent="0.3">
      <c r="A373" s="4">
        <v>35</v>
      </c>
    </row>
    <row r="374" spans="1:1" x14ac:dyDescent="0.3">
      <c r="A374" s="4">
        <v>320</v>
      </c>
    </row>
    <row r="375" spans="1:1" x14ac:dyDescent="0.3">
      <c r="A375" s="4">
        <v>238</v>
      </c>
    </row>
    <row r="376" spans="1:1" x14ac:dyDescent="0.3">
      <c r="A376" s="4">
        <v>49</v>
      </c>
    </row>
    <row r="377" spans="1:1" x14ac:dyDescent="0.3">
      <c r="A377" s="4">
        <v>64</v>
      </c>
    </row>
    <row r="378" spans="1:1" x14ac:dyDescent="0.3">
      <c r="A378" s="4">
        <v>60</v>
      </c>
    </row>
    <row r="379" spans="1:1" x14ac:dyDescent="0.3">
      <c r="A379" s="4">
        <v>269</v>
      </c>
    </row>
    <row r="380" spans="1:1" x14ac:dyDescent="0.3">
      <c r="A380" s="4">
        <v>18</v>
      </c>
    </row>
    <row r="381" spans="1:1" x14ac:dyDescent="0.3">
      <c r="A381" s="4">
        <v>102</v>
      </c>
    </row>
    <row r="382" spans="1:1" x14ac:dyDescent="0.3">
      <c r="A382" s="4">
        <v>96</v>
      </c>
    </row>
    <row r="383" spans="1:1" x14ac:dyDescent="0.3">
      <c r="A383" s="4">
        <v>330</v>
      </c>
    </row>
    <row r="384" spans="1:1" x14ac:dyDescent="0.3">
      <c r="A384" s="4">
        <v>41</v>
      </c>
    </row>
    <row r="385" spans="1:1" x14ac:dyDescent="0.3">
      <c r="A385" s="4">
        <v>42</v>
      </c>
    </row>
    <row r="386" spans="1:1" x14ac:dyDescent="0.3">
      <c r="A386" s="4">
        <v>246</v>
      </c>
    </row>
    <row r="387" spans="1:1" x14ac:dyDescent="0.3">
      <c r="A387" s="4">
        <v>57</v>
      </c>
    </row>
    <row r="388" spans="1:1" x14ac:dyDescent="0.3">
      <c r="A388" s="4">
        <v>299</v>
      </c>
    </row>
    <row r="389" spans="1:1" x14ac:dyDescent="0.3">
      <c r="A389" s="4">
        <v>59</v>
      </c>
    </row>
    <row r="390" spans="1:1" x14ac:dyDescent="0.3">
      <c r="A390" s="4">
        <v>14</v>
      </c>
    </row>
    <row r="391" spans="1:1" x14ac:dyDescent="0.3">
      <c r="A391" s="4">
        <v>11</v>
      </c>
    </row>
    <row r="392" spans="1:1" x14ac:dyDescent="0.3">
      <c r="A392" s="4">
        <v>43</v>
      </c>
    </row>
    <row r="393" spans="1:1" x14ac:dyDescent="0.3">
      <c r="A393" s="4">
        <v>71</v>
      </c>
    </row>
    <row r="394" spans="1:1" x14ac:dyDescent="0.3">
      <c r="A394" s="4">
        <v>112</v>
      </c>
    </row>
    <row r="395" spans="1:1" x14ac:dyDescent="0.3">
      <c r="A395" s="4">
        <v>282</v>
      </c>
    </row>
    <row r="396" spans="1:1" x14ac:dyDescent="0.3">
      <c r="A396" s="4">
        <v>140</v>
      </c>
    </row>
    <row r="397" spans="1:1" x14ac:dyDescent="0.3">
      <c r="A397" s="4">
        <v>212</v>
      </c>
    </row>
    <row r="398" spans="1:1" x14ac:dyDescent="0.3">
      <c r="A398" s="4">
        <v>254</v>
      </c>
    </row>
    <row r="399" spans="1:1" x14ac:dyDescent="0.3">
      <c r="A399" s="4">
        <v>208</v>
      </c>
    </row>
    <row r="400" spans="1:1" x14ac:dyDescent="0.3">
      <c r="A400" s="4">
        <v>167</v>
      </c>
    </row>
    <row r="401" spans="1:1" x14ac:dyDescent="0.3">
      <c r="A401" s="4">
        <v>68</v>
      </c>
    </row>
    <row r="402" spans="1:1" x14ac:dyDescent="0.3">
      <c r="A402" s="4">
        <v>161</v>
      </c>
    </row>
    <row r="403" spans="1:1" x14ac:dyDescent="0.3">
      <c r="A403" s="4">
        <v>66</v>
      </c>
    </row>
    <row r="404" spans="1:1" x14ac:dyDescent="0.3">
      <c r="A404" s="4">
        <v>17</v>
      </c>
    </row>
    <row r="405" spans="1:1" x14ac:dyDescent="0.3">
      <c r="A405" s="4">
        <v>116</v>
      </c>
    </row>
    <row r="406" spans="1:1" x14ac:dyDescent="0.3">
      <c r="A406" s="4">
        <v>257</v>
      </c>
    </row>
    <row r="407" spans="1:1" x14ac:dyDescent="0.3">
      <c r="A407" s="4">
        <v>43</v>
      </c>
    </row>
    <row r="408" spans="1:1" x14ac:dyDescent="0.3">
      <c r="A408" s="4">
        <v>364</v>
      </c>
    </row>
    <row r="409" spans="1:1" x14ac:dyDescent="0.3">
      <c r="A409" s="4">
        <v>38</v>
      </c>
    </row>
    <row r="410" spans="1:1" x14ac:dyDescent="0.3">
      <c r="A410" s="4">
        <v>33</v>
      </c>
    </row>
    <row r="411" spans="1:1" x14ac:dyDescent="0.3">
      <c r="A411" s="4">
        <v>106</v>
      </c>
    </row>
    <row r="412" spans="1:1" x14ac:dyDescent="0.3">
      <c r="A412" s="4">
        <v>161</v>
      </c>
    </row>
    <row r="413" spans="1:1" x14ac:dyDescent="0.3">
      <c r="A413" s="4">
        <v>136</v>
      </c>
    </row>
    <row r="414" spans="1:1" x14ac:dyDescent="0.3">
      <c r="A414" s="4">
        <v>145</v>
      </c>
    </row>
    <row r="415" spans="1:1" x14ac:dyDescent="0.3">
      <c r="A415" s="4">
        <v>32</v>
      </c>
    </row>
    <row r="416" spans="1:1" x14ac:dyDescent="0.3">
      <c r="A416" s="4">
        <v>285</v>
      </c>
    </row>
    <row r="417" spans="1:1" x14ac:dyDescent="0.3">
      <c r="A417" s="4">
        <v>164</v>
      </c>
    </row>
    <row r="418" spans="1:1" x14ac:dyDescent="0.3">
      <c r="A418" s="4">
        <v>322</v>
      </c>
    </row>
    <row r="419" spans="1:1" x14ac:dyDescent="0.3">
      <c r="A419" s="4">
        <v>14</v>
      </c>
    </row>
    <row r="420" spans="1:1" x14ac:dyDescent="0.3">
      <c r="A420" s="4">
        <v>111</v>
      </c>
    </row>
    <row r="421" spans="1:1" x14ac:dyDescent="0.3">
      <c r="A421" s="4">
        <v>27</v>
      </c>
    </row>
    <row r="422" spans="1:1" x14ac:dyDescent="0.3">
      <c r="A422" s="4">
        <v>10</v>
      </c>
    </row>
    <row r="423" spans="1:1" x14ac:dyDescent="0.3">
      <c r="A423" s="4">
        <v>277</v>
      </c>
    </row>
    <row r="424" spans="1:1" x14ac:dyDescent="0.3">
      <c r="A424" s="4">
        <v>33</v>
      </c>
    </row>
    <row r="425" spans="1:1" x14ac:dyDescent="0.3">
      <c r="A425" s="4">
        <v>36</v>
      </c>
    </row>
    <row r="426" spans="1:1" x14ac:dyDescent="0.3">
      <c r="A426" s="4">
        <v>37</v>
      </c>
    </row>
    <row r="427" spans="1:1" x14ac:dyDescent="0.3">
      <c r="A427" s="4">
        <v>83</v>
      </c>
    </row>
    <row r="428" spans="1:1" x14ac:dyDescent="0.3">
      <c r="A428" s="4">
        <v>20</v>
      </c>
    </row>
    <row r="429" spans="1:1" x14ac:dyDescent="0.3">
      <c r="A429" s="4">
        <v>254</v>
      </c>
    </row>
    <row r="430" spans="1:1" x14ac:dyDescent="0.3">
      <c r="A430" s="4">
        <v>232</v>
      </c>
    </row>
    <row r="431" spans="1:1" x14ac:dyDescent="0.3">
      <c r="A431" s="4">
        <v>159</v>
      </c>
    </row>
    <row r="432" spans="1:1" x14ac:dyDescent="0.3">
      <c r="A432" s="4">
        <v>60</v>
      </c>
    </row>
    <row r="433" spans="1:1" x14ac:dyDescent="0.3">
      <c r="A433" s="4">
        <v>128</v>
      </c>
    </row>
    <row r="434" spans="1:1" x14ac:dyDescent="0.3">
      <c r="A434" s="4">
        <v>30</v>
      </c>
    </row>
    <row r="435" spans="1:1" x14ac:dyDescent="0.3">
      <c r="A435" s="4">
        <v>9</v>
      </c>
    </row>
    <row r="436" spans="1:1" x14ac:dyDescent="0.3">
      <c r="A436" s="4">
        <v>137</v>
      </c>
    </row>
    <row r="437" spans="1:1" x14ac:dyDescent="0.3">
      <c r="A437" s="4">
        <v>65</v>
      </c>
    </row>
    <row r="438" spans="1:1" x14ac:dyDescent="0.3">
      <c r="A438" s="4">
        <v>105</v>
      </c>
    </row>
    <row r="439" spans="1:1" x14ac:dyDescent="0.3">
      <c r="A439" s="4">
        <v>48</v>
      </c>
    </row>
    <row r="440" spans="1:1" x14ac:dyDescent="0.3">
      <c r="A440" s="4">
        <v>181</v>
      </c>
    </row>
    <row r="441" spans="1:1" x14ac:dyDescent="0.3">
      <c r="A441" s="4">
        <v>80</v>
      </c>
    </row>
    <row r="442" spans="1:1" x14ac:dyDescent="0.3">
      <c r="A442" s="4">
        <v>65</v>
      </c>
    </row>
    <row r="443" spans="1:1" x14ac:dyDescent="0.3">
      <c r="A443" s="4">
        <v>58</v>
      </c>
    </row>
    <row r="444" spans="1:1" x14ac:dyDescent="0.3">
      <c r="A444" s="4">
        <v>45</v>
      </c>
    </row>
    <row r="445" spans="1:1" x14ac:dyDescent="0.3">
      <c r="A445" s="4">
        <v>17</v>
      </c>
    </row>
    <row r="446" spans="1:1" x14ac:dyDescent="0.3">
      <c r="A446" s="4">
        <v>80</v>
      </c>
    </row>
    <row r="447" spans="1:1" x14ac:dyDescent="0.3">
      <c r="A447" s="4">
        <v>266</v>
      </c>
    </row>
    <row r="448" spans="1:1" x14ac:dyDescent="0.3">
      <c r="A448" s="4">
        <v>96</v>
      </c>
    </row>
    <row r="449" spans="1:1" x14ac:dyDescent="0.3">
      <c r="A449" s="4">
        <v>231</v>
      </c>
    </row>
    <row r="450" spans="1:1" x14ac:dyDescent="0.3">
      <c r="A450" s="4">
        <v>248</v>
      </c>
    </row>
    <row r="451" spans="1:1" x14ac:dyDescent="0.3">
      <c r="A451" s="4">
        <v>162</v>
      </c>
    </row>
    <row r="452" spans="1:1" x14ac:dyDescent="0.3">
      <c r="A452" s="4">
        <v>236</v>
      </c>
    </row>
    <row r="453" spans="1:1" x14ac:dyDescent="0.3">
      <c r="A453" s="4">
        <v>41</v>
      </c>
    </row>
    <row r="454" spans="1:1" x14ac:dyDescent="0.3">
      <c r="A454" s="4">
        <v>50</v>
      </c>
    </row>
    <row r="455" spans="1:1" x14ac:dyDescent="0.3">
      <c r="A455" s="4">
        <v>108</v>
      </c>
    </row>
    <row r="456" spans="1:1" x14ac:dyDescent="0.3">
      <c r="A456" s="4">
        <v>358</v>
      </c>
    </row>
    <row r="457" spans="1:1" x14ac:dyDescent="0.3">
      <c r="A457" s="4">
        <v>96</v>
      </c>
    </row>
    <row r="458" spans="1:1" x14ac:dyDescent="0.3">
      <c r="A458" s="4">
        <v>349</v>
      </c>
    </row>
    <row r="459" spans="1:1" x14ac:dyDescent="0.3">
      <c r="A459" s="4">
        <v>217</v>
      </c>
    </row>
    <row r="460" spans="1:1" x14ac:dyDescent="0.3">
      <c r="A460" s="4">
        <v>183</v>
      </c>
    </row>
    <row r="461" spans="1:1" x14ac:dyDescent="0.3">
      <c r="A461" s="4">
        <v>20</v>
      </c>
    </row>
    <row r="462" spans="1:1" x14ac:dyDescent="0.3">
      <c r="A462" s="4">
        <v>74</v>
      </c>
    </row>
    <row r="463" spans="1:1" x14ac:dyDescent="0.3">
      <c r="A463" s="4">
        <v>71</v>
      </c>
    </row>
    <row r="464" spans="1:1" x14ac:dyDescent="0.3">
      <c r="A464" s="4">
        <v>315</v>
      </c>
    </row>
    <row r="465" spans="1:1" x14ac:dyDescent="0.3">
      <c r="A465" s="4">
        <v>30</v>
      </c>
    </row>
    <row r="466" spans="1:1" x14ac:dyDescent="0.3">
      <c r="A466" s="4">
        <v>107</v>
      </c>
    </row>
    <row r="467" spans="1:1" x14ac:dyDescent="0.3">
      <c r="A467" s="4">
        <v>267</v>
      </c>
    </row>
    <row r="468" spans="1:1" x14ac:dyDescent="0.3">
      <c r="A468" s="4">
        <v>32</v>
      </c>
    </row>
    <row r="469" spans="1:1" x14ac:dyDescent="0.3">
      <c r="A469" s="4">
        <v>344</v>
      </c>
    </row>
    <row r="470" spans="1:1" x14ac:dyDescent="0.3">
      <c r="A470" s="4">
        <v>194</v>
      </c>
    </row>
    <row r="471" spans="1:1" x14ac:dyDescent="0.3">
      <c r="A471" s="4">
        <v>416</v>
      </c>
    </row>
    <row r="472" spans="1:1" x14ac:dyDescent="0.3">
      <c r="A472" s="4">
        <v>52</v>
      </c>
    </row>
    <row r="473" spans="1:1" x14ac:dyDescent="0.3">
      <c r="A473" s="4">
        <v>243</v>
      </c>
    </row>
    <row r="474" spans="1:1" x14ac:dyDescent="0.3">
      <c r="A474" s="4">
        <v>144</v>
      </c>
    </row>
    <row r="475" spans="1:1" x14ac:dyDescent="0.3">
      <c r="A475" s="4">
        <v>74</v>
      </c>
    </row>
    <row r="476" spans="1:1" x14ac:dyDescent="0.3">
      <c r="A476" s="4">
        <v>102</v>
      </c>
    </row>
    <row r="477" spans="1:1" x14ac:dyDescent="0.3">
      <c r="A477" s="4">
        <v>254</v>
      </c>
    </row>
    <row r="478" spans="1:1" x14ac:dyDescent="0.3">
      <c r="A478" s="4">
        <v>456</v>
      </c>
    </row>
    <row r="479" spans="1:1" x14ac:dyDescent="0.3">
      <c r="A479" s="4">
        <v>41</v>
      </c>
    </row>
    <row r="480" spans="1:1" x14ac:dyDescent="0.3">
      <c r="A480" s="4">
        <v>157</v>
      </c>
    </row>
    <row r="481" spans="1:1" x14ac:dyDescent="0.3">
      <c r="A481" s="4">
        <v>170</v>
      </c>
    </row>
    <row r="482" spans="1:1" x14ac:dyDescent="0.3">
      <c r="A482" s="4">
        <v>351</v>
      </c>
    </row>
    <row r="483" spans="1:1" x14ac:dyDescent="0.3">
      <c r="A483" s="4">
        <v>169</v>
      </c>
    </row>
    <row r="484" spans="1:1" x14ac:dyDescent="0.3">
      <c r="A484" s="4">
        <v>415</v>
      </c>
    </row>
    <row r="485" spans="1:1" x14ac:dyDescent="0.3">
      <c r="A485" s="4">
        <v>52</v>
      </c>
    </row>
    <row r="486" spans="1:1" x14ac:dyDescent="0.3">
      <c r="A486" s="4">
        <v>85</v>
      </c>
    </row>
    <row r="487" spans="1:1" x14ac:dyDescent="0.3">
      <c r="A487" s="4">
        <v>108</v>
      </c>
    </row>
    <row r="488" spans="1:1" x14ac:dyDescent="0.3">
      <c r="A488" s="4">
        <v>214</v>
      </c>
    </row>
    <row r="489" spans="1:1" x14ac:dyDescent="0.3">
      <c r="A489" s="4">
        <v>79</v>
      </c>
    </row>
    <row r="490" spans="1:1" x14ac:dyDescent="0.3">
      <c r="A490" s="4">
        <v>42</v>
      </c>
    </row>
    <row r="491" spans="1:1" x14ac:dyDescent="0.3">
      <c r="A491" s="4">
        <v>170</v>
      </c>
    </row>
    <row r="492" spans="1:1" x14ac:dyDescent="0.3">
      <c r="A492" s="4">
        <v>186</v>
      </c>
    </row>
    <row r="493" spans="1:1" x14ac:dyDescent="0.3">
      <c r="A493" s="4">
        <v>264</v>
      </c>
    </row>
    <row r="494" spans="1:1" x14ac:dyDescent="0.3">
      <c r="A494" s="4">
        <v>238</v>
      </c>
    </row>
    <row r="495" spans="1:1" x14ac:dyDescent="0.3">
      <c r="A495" s="4">
        <v>45</v>
      </c>
    </row>
    <row r="496" spans="1:1" x14ac:dyDescent="0.3">
      <c r="A496" s="4">
        <v>167</v>
      </c>
    </row>
    <row r="497" spans="1:1" x14ac:dyDescent="0.3">
      <c r="A497" s="4">
        <v>364</v>
      </c>
    </row>
    <row r="498" spans="1:1" x14ac:dyDescent="0.3">
      <c r="A498" s="4">
        <v>20</v>
      </c>
    </row>
    <row r="499" spans="1:1" x14ac:dyDescent="0.3">
      <c r="A499" s="4">
        <v>42</v>
      </c>
    </row>
    <row r="500" spans="1:1" x14ac:dyDescent="0.3">
      <c r="A500" s="4">
        <v>18</v>
      </c>
    </row>
    <row r="501" spans="1:1" x14ac:dyDescent="0.3">
      <c r="A501" s="4">
        <v>32</v>
      </c>
    </row>
    <row r="502" spans="1:1" x14ac:dyDescent="0.3">
      <c r="A502" s="4">
        <v>113</v>
      </c>
    </row>
    <row r="503" spans="1:1" x14ac:dyDescent="0.3">
      <c r="A503" s="4">
        <v>82</v>
      </c>
    </row>
    <row r="504" spans="1:1" x14ac:dyDescent="0.3">
      <c r="A504" s="4">
        <v>318</v>
      </c>
    </row>
    <row r="505" spans="1:1" x14ac:dyDescent="0.3">
      <c r="A505" s="4">
        <v>12</v>
      </c>
    </row>
    <row r="506" spans="1:1" x14ac:dyDescent="0.3">
      <c r="A506" s="4">
        <v>31</v>
      </c>
    </row>
    <row r="507" spans="1:1" x14ac:dyDescent="0.3">
      <c r="A507" s="4">
        <v>62</v>
      </c>
    </row>
    <row r="508" spans="1:1" x14ac:dyDescent="0.3">
      <c r="A508" s="4">
        <v>31</v>
      </c>
    </row>
    <row r="509" spans="1:1" x14ac:dyDescent="0.3">
      <c r="A509" s="4">
        <v>327</v>
      </c>
    </row>
    <row r="510" spans="1:1" x14ac:dyDescent="0.3">
      <c r="A510" s="4">
        <v>40</v>
      </c>
    </row>
    <row r="511" spans="1:1" x14ac:dyDescent="0.3">
      <c r="A511" s="4">
        <v>140</v>
      </c>
    </row>
    <row r="512" spans="1:1" x14ac:dyDescent="0.3">
      <c r="A512" s="4">
        <v>231</v>
      </c>
    </row>
    <row r="513" spans="1:1" x14ac:dyDescent="0.3">
      <c r="A513" s="4">
        <v>193</v>
      </c>
    </row>
    <row r="514" spans="1:1" x14ac:dyDescent="0.3">
      <c r="A514" s="4">
        <v>21</v>
      </c>
    </row>
    <row r="515" spans="1:1" x14ac:dyDescent="0.3">
      <c r="A515" s="4">
        <v>239</v>
      </c>
    </row>
    <row r="516" spans="1:1" x14ac:dyDescent="0.3">
      <c r="A516" s="4">
        <v>190</v>
      </c>
    </row>
    <row r="517" spans="1:1" x14ac:dyDescent="0.3">
      <c r="A517" s="4">
        <v>132</v>
      </c>
    </row>
    <row r="518" spans="1:1" x14ac:dyDescent="0.3">
      <c r="A518" s="4">
        <v>222</v>
      </c>
    </row>
    <row r="519" spans="1:1" x14ac:dyDescent="0.3">
      <c r="A519" s="4">
        <v>200</v>
      </c>
    </row>
    <row r="520" spans="1:1" x14ac:dyDescent="0.3">
      <c r="A520" s="4">
        <v>247</v>
      </c>
    </row>
    <row r="521" spans="1:1" x14ac:dyDescent="0.3">
      <c r="A521" s="4">
        <v>256</v>
      </c>
    </row>
    <row r="522" spans="1:1" x14ac:dyDescent="0.3">
      <c r="A522" s="4">
        <v>110</v>
      </c>
    </row>
    <row r="523" spans="1:1" x14ac:dyDescent="0.3">
      <c r="A523" s="4">
        <v>204</v>
      </c>
    </row>
    <row r="524" spans="1:1" x14ac:dyDescent="0.3">
      <c r="A524" s="4">
        <v>24</v>
      </c>
    </row>
    <row r="525" spans="1:1" x14ac:dyDescent="0.3">
      <c r="A525" s="4">
        <v>160</v>
      </c>
    </row>
    <row r="526" spans="1:1" x14ac:dyDescent="0.3">
      <c r="A526" s="4">
        <v>154</v>
      </c>
    </row>
    <row r="527" spans="1:1" x14ac:dyDescent="0.3">
      <c r="A527" s="4">
        <v>303</v>
      </c>
    </row>
    <row r="528" spans="1:1" x14ac:dyDescent="0.3">
      <c r="A528" s="4">
        <v>233</v>
      </c>
    </row>
    <row r="529" spans="1:1" x14ac:dyDescent="0.3">
      <c r="A529" s="4">
        <v>43</v>
      </c>
    </row>
    <row r="530" spans="1:1" x14ac:dyDescent="0.3">
      <c r="A530" s="4">
        <v>27</v>
      </c>
    </row>
    <row r="531" spans="1:1" x14ac:dyDescent="0.3">
      <c r="A531" s="4">
        <v>143</v>
      </c>
    </row>
    <row r="532" spans="1:1" x14ac:dyDescent="0.3">
      <c r="A532" s="4">
        <v>258</v>
      </c>
    </row>
    <row r="533" spans="1:1" x14ac:dyDescent="0.3">
      <c r="A533" s="4">
        <v>59</v>
      </c>
    </row>
    <row r="534" spans="1:1" x14ac:dyDescent="0.3">
      <c r="A534" s="4">
        <v>146</v>
      </c>
    </row>
    <row r="535" spans="1:1" x14ac:dyDescent="0.3">
      <c r="A535" s="4">
        <v>52</v>
      </c>
    </row>
    <row r="536" spans="1:1" x14ac:dyDescent="0.3">
      <c r="A536" s="4">
        <v>210</v>
      </c>
    </row>
    <row r="537" spans="1:1" x14ac:dyDescent="0.3">
      <c r="A537" s="4">
        <v>43</v>
      </c>
    </row>
    <row r="538" spans="1:1" x14ac:dyDescent="0.3">
      <c r="A538" s="4">
        <v>191</v>
      </c>
    </row>
    <row r="539" spans="1:1" x14ac:dyDescent="0.3">
      <c r="A539" s="4">
        <v>187</v>
      </c>
    </row>
    <row r="540" spans="1:1" x14ac:dyDescent="0.3">
      <c r="A540" s="4">
        <v>222</v>
      </c>
    </row>
    <row r="541" spans="1:1" x14ac:dyDescent="0.3">
      <c r="A541" s="4">
        <v>119</v>
      </c>
    </row>
    <row r="542" spans="1:1" x14ac:dyDescent="0.3">
      <c r="A542" s="4">
        <v>65</v>
      </c>
    </row>
    <row r="543" spans="1:1" x14ac:dyDescent="0.3">
      <c r="A543" s="4">
        <v>237</v>
      </c>
    </row>
    <row r="544" spans="1:1" x14ac:dyDescent="0.3">
      <c r="A544" s="4">
        <v>84</v>
      </c>
    </row>
    <row r="545" spans="1:1" x14ac:dyDescent="0.3">
      <c r="A545" s="4">
        <v>333</v>
      </c>
    </row>
    <row r="546" spans="1:1" x14ac:dyDescent="0.3">
      <c r="A546" s="4">
        <v>161</v>
      </c>
    </row>
    <row r="547" spans="1:1" x14ac:dyDescent="0.3">
      <c r="A547" s="4">
        <v>71</v>
      </c>
    </row>
    <row r="548" spans="1:1" x14ac:dyDescent="0.3">
      <c r="A548" s="4">
        <v>252</v>
      </c>
    </row>
    <row r="549" spans="1:1" x14ac:dyDescent="0.3">
      <c r="A549" s="4">
        <v>77</v>
      </c>
    </row>
    <row r="550" spans="1:1" x14ac:dyDescent="0.3">
      <c r="A550" s="4">
        <v>291</v>
      </c>
    </row>
    <row r="551" spans="1:1" x14ac:dyDescent="0.3">
      <c r="A551" s="4">
        <v>55</v>
      </c>
    </row>
    <row r="552" spans="1:1" x14ac:dyDescent="0.3">
      <c r="A552" s="4">
        <v>422</v>
      </c>
    </row>
    <row r="553" spans="1:1" x14ac:dyDescent="0.3">
      <c r="A553" s="4">
        <v>302</v>
      </c>
    </row>
    <row r="554" spans="1:1" x14ac:dyDescent="0.3">
      <c r="A554" s="4">
        <v>109</v>
      </c>
    </row>
    <row r="555" spans="1:1" x14ac:dyDescent="0.3">
      <c r="A555" s="4">
        <v>40</v>
      </c>
    </row>
    <row r="556" spans="1:1" x14ac:dyDescent="0.3">
      <c r="A556" s="4">
        <v>254</v>
      </c>
    </row>
    <row r="557" spans="1:1" x14ac:dyDescent="0.3">
      <c r="A557" s="4">
        <v>21</v>
      </c>
    </row>
    <row r="558" spans="1:1" x14ac:dyDescent="0.3">
      <c r="A558" s="4">
        <v>133</v>
      </c>
    </row>
    <row r="559" spans="1:1" x14ac:dyDescent="0.3">
      <c r="A559" s="4">
        <v>68</v>
      </c>
    </row>
    <row r="560" spans="1:1" x14ac:dyDescent="0.3">
      <c r="A560" s="4">
        <v>183</v>
      </c>
    </row>
    <row r="561" spans="1:1" x14ac:dyDescent="0.3">
      <c r="A561" s="4">
        <v>62</v>
      </c>
    </row>
    <row r="562" spans="1:1" x14ac:dyDescent="0.3">
      <c r="A562" s="4">
        <v>135</v>
      </c>
    </row>
    <row r="563" spans="1:1" x14ac:dyDescent="0.3">
      <c r="A563" s="4">
        <v>192</v>
      </c>
    </row>
    <row r="564" spans="1:1" x14ac:dyDescent="0.3">
      <c r="A564" s="4">
        <v>93</v>
      </c>
    </row>
    <row r="565" spans="1:1" x14ac:dyDescent="0.3">
      <c r="A565" s="4">
        <v>28</v>
      </c>
    </row>
    <row r="566" spans="1:1" x14ac:dyDescent="0.3">
      <c r="A566" s="4">
        <v>259</v>
      </c>
    </row>
    <row r="567" spans="1:1" x14ac:dyDescent="0.3">
      <c r="A567" s="4">
        <v>103</v>
      </c>
    </row>
    <row r="568" spans="1:1" x14ac:dyDescent="0.3">
      <c r="A568" s="4">
        <v>75</v>
      </c>
    </row>
    <row r="569" spans="1:1" x14ac:dyDescent="0.3">
      <c r="A569" s="4">
        <v>48</v>
      </c>
    </row>
    <row r="570" spans="1:1" x14ac:dyDescent="0.3">
      <c r="A570" s="4">
        <v>77</v>
      </c>
    </row>
    <row r="571" spans="1:1" x14ac:dyDescent="0.3">
      <c r="A571" s="4">
        <v>38</v>
      </c>
    </row>
    <row r="572" spans="1:1" x14ac:dyDescent="0.3">
      <c r="A572" s="4">
        <v>19</v>
      </c>
    </row>
    <row r="573" spans="1:1" x14ac:dyDescent="0.3">
      <c r="A573" s="4">
        <v>171</v>
      </c>
    </row>
    <row r="574" spans="1:1" x14ac:dyDescent="0.3">
      <c r="A574" s="4">
        <v>276</v>
      </c>
    </row>
    <row r="575" spans="1:1" x14ac:dyDescent="0.3">
      <c r="A575" s="4">
        <v>31</v>
      </c>
    </row>
    <row r="576" spans="1:1" x14ac:dyDescent="0.3">
      <c r="A576" s="4">
        <v>6</v>
      </c>
    </row>
    <row r="577" spans="1:1" x14ac:dyDescent="0.3">
      <c r="A577" s="4">
        <v>174</v>
      </c>
    </row>
    <row r="578" spans="1:1" x14ac:dyDescent="0.3">
      <c r="A578" s="4">
        <v>87</v>
      </c>
    </row>
    <row r="579" spans="1:1" x14ac:dyDescent="0.3">
      <c r="A579" s="4">
        <v>71</v>
      </c>
    </row>
    <row r="580" spans="1:1" x14ac:dyDescent="0.3">
      <c r="A580" s="4">
        <v>189</v>
      </c>
    </row>
    <row r="581" spans="1:1" x14ac:dyDescent="0.3">
      <c r="A581" s="4">
        <v>61</v>
      </c>
    </row>
    <row r="582" spans="1:1" x14ac:dyDescent="0.3">
      <c r="A582" s="4">
        <v>230</v>
      </c>
    </row>
    <row r="583" spans="1:1" x14ac:dyDescent="0.3">
      <c r="A583" s="4">
        <v>146</v>
      </c>
    </row>
    <row r="584" spans="1:1" x14ac:dyDescent="0.3">
      <c r="A584" s="4">
        <v>58</v>
      </c>
    </row>
    <row r="585" spans="1:1" x14ac:dyDescent="0.3">
      <c r="A585" s="4">
        <v>115</v>
      </c>
    </row>
    <row r="586" spans="1:1" x14ac:dyDescent="0.3">
      <c r="A586" s="4">
        <v>166</v>
      </c>
    </row>
    <row r="587" spans="1:1" x14ac:dyDescent="0.3">
      <c r="A587" s="4">
        <v>177</v>
      </c>
    </row>
    <row r="588" spans="1:1" x14ac:dyDescent="0.3">
      <c r="A588" s="4">
        <v>34</v>
      </c>
    </row>
    <row r="589" spans="1:1" x14ac:dyDescent="0.3">
      <c r="A589" s="4">
        <v>106</v>
      </c>
    </row>
    <row r="590" spans="1:1" x14ac:dyDescent="0.3">
      <c r="A590" s="4">
        <v>390</v>
      </c>
    </row>
    <row r="591" spans="1:1" x14ac:dyDescent="0.3">
      <c r="A591" s="4">
        <v>85</v>
      </c>
    </row>
    <row r="592" spans="1:1" x14ac:dyDescent="0.3">
      <c r="A592" s="4">
        <v>42</v>
      </c>
    </row>
    <row r="593" spans="1:1" x14ac:dyDescent="0.3">
      <c r="A593" s="4">
        <v>164</v>
      </c>
    </row>
    <row r="594" spans="1:1" x14ac:dyDescent="0.3">
      <c r="A594" s="4">
        <v>262</v>
      </c>
    </row>
    <row r="595" spans="1:1" x14ac:dyDescent="0.3">
      <c r="A595" s="4">
        <v>54</v>
      </c>
    </row>
    <row r="596" spans="1:1" x14ac:dyDescent="0.3">
      <c r="A596" s="4">
        <v>165</v>
      </c>
    </row>
    <row r="597" spans="1:1" x14ac:dyDescent="0.3">
      <c r="A597" s="4">
        <v>86</v>
      </c>
    </row>
    <row r="598" spans="1:1" x14ac:dyDescent="0.3">
      <c r="A598" s="4">
        <v>121</v>
      </c>
    </row>
    <row r="599" spans="1:1" x14ac:dyDescent="0.3">
      <c r="A599" s="4">
        <v>21</v>
      </c>
    </row>
    <row r="600" spans="1:1" x14ac:dyDescent="0.3">
      <c r="A600" s="4">
        <v>73</v>
      </c>
    </row>
    <row r="601" spans="1:1" x14ac:dyDescent="0.3">
      <c r="A601" s="4">
        <v>112</v>
      </c>
    </row>
    <row r="602" spans="1:1" x14ac:dyDescent="0.3">
      <c r="A602" s="4">
        <v>92</v>
      </c>
    </row>
    <row r="603" spans="1:1" x14ac:dyDescent="0.3">
      <c r="A603" s="4">
        <v>66</v>
      </c>
    </row>
    <row r="604" spans="1:1" x14ac:dyDescent="0.3">
      <c r="A604" s="4">
        <v>279</v>
      </c>
    </row>
    <row r="605" spans="1:1" x14ac:dyDescent="0.3">
      <c r="A605" s="4">
        <v>239</v>
      </c>
    </row>
    <row r="606" spans="1:1" x14ac:dyDescent="0.3">
      <c r="A606" s="4">
        <v>48</v>
      </c>
    </row>
    <row r="607" spans="1:1" x14ac:dyDescent="0.3">
      <c r="A607" s="4">
        <v>177</v>
      </c>
    </row>
    <row r="608" spans="1:1" x14ac:dyDescent="0.3">
      <c r="A608" s="4">
        <v>55</v>
      </c>
    </row>
    <row r="609" spans="1:1" x14ac:dyDescent="0.3">
      <c r="A609" s="4">
        <v>333</v>
      </c>
    </row>
    <row r="610" spans="1:1" x14ac:dyDescent="0.3">
      <c r="A610" s="4">
        <v>96</v>
      </c>
    </row>
    <row r="611" spans="1:1" x14ac:dyDescent="0.3">
      <c r="A611" s="4">
        <v>67</v>
      </c>
    </row>
    <row r="612" spans="1:1" x14ac:dyDescent="0.3">
      <c r="A612" s="4">
        <v>44</v>
      </c>
    </row>
    <row r="613" spans="1:1" x14ac:dyDescent="0.3">
      <c r="A613" s="4">
        <v>71</v>
      </c>
    </row>
    <row r="614" spans="1:1" x14ac:dyDescent="0.3">
      <c r="A614" s="4">
        <v>53</v>
      </c>
    </row>
    <row r="615" spans="1:1" x14ac:dyDescent="0.3">
      <c r="A615" s="4">
        <v>52</v>
      </c>
    </row>
    <row r="616" spans="1:1" x14ac:dyDescent="0.3">
      <c r="A616" s="4">
        <v>10</v>
      </c>
    </row>
    <row r="617" spans="1:1" x14ac:dyDescent="0.3">
      <c r="A617" s="4">
        <v>64</v>
      </c>
    </row>
    <row r="618" spans="1:1" x14ac:dyDescent="0.3">
      <c r="A618" s="4">
        <v>45</v>
      </c>
    </row>
    <row r="619" spans="1:1" x14ac:dyDescent="0.3">
      <c r="A619" s="4">
        <v>95</v>
      </c>
    </row>
    <row r="620" spans="1:1" x14ac:dyDescent="0.3">
      <c r="A620" s="4">
        <v>6</v>
      </c>
    </row>
    <row r="621" spans="1:1" x14ac:dyDescent="0.3">
      <c r="A621" s="4">
        <v>101</v>
      </c>
    </row>
    <row r="622" spans="1:1" x14ac:dyDescent="0.3">
      <c r="A622" s="4">
        <v>210</v>
      </c>
    </row>
    <row r="623" spans="1:1" x14ac:dyDescent="0.3">
      <c r="A623" s="4">
        <v>290</v>
      </c>
    </row>
    <row r="624" spans="1:1" x14ac:dyDescent="0.3">
      <c r="A624" s="4">
        <v>162</v>
      </c>
    </row>
    <row r="625" spans="1:1" x14ac:dyDescent="0.3">
      <c r="A625" s="4">
        <v>43</v>
      </c>
    </row>
    <row r="626" spans="1:1" x14ac:dyDescent="0.3">
      <c r="A626" s="4">
        <v>156</v>
      </c>
    </row>
    <row r="627" spans="1:1" x14ac:dyDescent="0.3">
      <c r="A627" s="4">
        <v>284</v>
      </c>
    </row>
    <row r="628" spans="1:1" x14ac:dyDescent="0.3">
      <c r="A628" s="4">
        <v>42</v>
      </c>
    </row>
    <row r="629" spans="1:1" x14ac:dyDescent="0.3">
      <c r="A629" s="4">
        <v>81</v>
      </c>
    </row>
    <row r="630" spans="1:1" x14ac:dyDescent="0.3">
      <c r="A630" s="4">
        <v>266</v>
      </c>
    </row>
    <row r="631" spans="1:1" x14ac:dyDescent="0.3">
      <c r="A631" s="4">
        <v>106</v>
      </c>
    </row>
    <row r="632" spans="1:1" x14ac:dyDescent="0.3">
      <c r="A632" s="4">
        <v>72</v>
      </c>
    </row>
    <row r="633" spans="1:1" x14ac:dyDescent="0.3">
      <c r="A633" s="4">
        <v>148</v>
      </c>
    </row>
    <row r="634" spans="1:1" x14ac:dyDescent="0.3">
      <c r="A634" s="4">
        <v>349</v>
      </c>
    </row>
    <row r="635" spans="1:1" x14ac:dyDescent="0.3">
      <c r="A635" s="4">
        <v>171</v>
      </c>
    </row>
    <row r="636" spans="1:1" x14ac:dyDescent="0.3">
      <c r="A636" s="4">
        <v>102</v>
      </c>
    </row>
    <row r="637" spans="1:1" x14ac:dyDescent="0.3">
      <c r="A637" s="4">
        <v>25</v>
      </c>
    </row>
    <row r="638" spans="1:1" x14ac:dyDescent="0.3">
      <c r="A638" s="4">
        <v>95</v>
      </c>
    </row>
    <row r="639" spans="1:1" x14ac:dyDescent="0.3">
      <c r="A639" s="4">
        <v>354</v>
      </c>
    </row>
    <row r="640" spans="1:1" x14ac:dyDescent="0.3">
      <c r="A640" s="4">
        <v>81</v>
      </c>
    </row>
    <row r="641" spans="1:1" x14ac:dyDescent="0.3">
      <c r="A641" s="4">
        <v>147</v>
      </c>
    </row>
    <row r="642" spans="1:1" x14ac:dyDescent="0.3">
      <c r="A642" s="4">
        <v>336</v>
      </c>
    </row>
    <row r="643" spans="1:1" x14ac:dyDescent="0.3">
      <c r="A643" s="4">
        <v>332</v>
      </c>
    </row>
    <row r="644" spans="1:1" x14ac:dyDescent="0.3">
      <c r="A644" s="4">
        <v>167</v>
      </c>
    </row>
    <row r="645" spans="1:1" x14ac:dyDescent="0.3">
      <c r="A645" s="4">
        <v>64</v>
      </c>
    </row>
    <row r="646" spans="1:1" x14ac:dyDescent="0.3">
      <c r="A646" s="4">
        <v>61</v>
      </c>
    </row>
    <row r="647" spans="1:1" x14ac:dyDescent="0.3">
      <c r="A647" s="4">
        <v>357</v>
      </c>
    </row>
    <row r="648" spans="1:1" x14ac:dyDescent="0.3">
      <c r="A648" s="4">
        <v>10</v>
      </c>
    </row>
    <row r="649" spans="1:1" x14ac:dyDescent="0.3">
      <c r="A649" s="4">
        <v>23</v>
      </c>
    </row>
    <row r="650" spans="1:1" x14ac:dyDescent="0.3">
      <c r="A650" s="4">
        <v>89</v>
      </c>
    </row>
    <row r="651" spans="1:1" x14ac:dyDescent="0.3">
      <c r="A651" s="4">
        <v>31</v>
      </c>
    </row>
    <row r="652" spans="1:1" x14ac:dyDescent="0.3">
      <c r="A652" s="4">
        <v>25</v>
      </c>
    </row>
    <row r="653" spans="1:1" x14ac:dyDescent="0.3">
      <c r="A653" s="4">
        <v>120</v>
      </c>
    </row>
    <row r="654" spans="1:1" x14ac:dyDescent="0.3">
      <c r="A654" s="4">
        <v>295</v>
      </c>
    </row>
    <row r="655" spans="1:1" x14ac:dyDescent="0.3">
      <c r="A655" s="4">
        <v>108</v>
      </c>
    </row>
    <row r="656" spans="1:1" x14ac:dyDescent="0.3">
      <c r="A656" s="4">
        <v>37</v>
      </c>
    </row>
    <row r="657" spans="1:1" x14ac:dyDescent="0.3">
      <c r="A657" s="4">
        <v>84</v>
      </c>
    </row>
    <row r="658" spans="1:1" x14ac:dyDescent="0.3">
      <c r="A658" s="4">
        <v>159</v>
      </c>
    </row>
    <row r="659" spans="1:1" x14ac:dyDescent="0.3">
      <c r="A659" s="4">
        <v>220</v>
      </c>
    </row>
    <row r="660" spans="1:1" x14ac:dyDescent="0.3">
      <c r="A660" s="4">
        <v>111</v>
      </c>
    </row>
    <row r="661" spans="1:1" x14ac:dyDescent="0.3">
      <c r="A661" s="4">
        <v>161</v>
      </c>
    </row>
    <row r="662" spans="1:1" x14ac:dyDescent="0.3">
      <c r="A662" s="4">
        <v>68</v>
      </c>
    </row>
    <row r="663" spans="1:1" x14ac:dyDescent="0.3">
      <c r="A663" s="4">
        <v>134</v>
      </c>
    </row>
    <row r="664" spans="1:1" x14ac:dyDescent="0.3">
      <c r="A664" s="4">
        <v>110</v>
      </c>
    </row>
    <row r="665" spans="1:1" x14ac:dyDescent="0.3">
      <c r="A665" s="4">
        <v>328</v>
      </c>
    </row>
    <row r="666" spans="1:1" x14ac:dyDescent="0.3">
      <c r="A666" s="4">
        <v>102</v>
      </c>
    </row>
    <row r="667" spans="1:1" x14ac:dyDescent="0.3">
      <c r="A667" s="4">
        <v>90</v>
      </c>
    </row>
    <row r="668" spans="1:1" x14ac:dyDescent="0.3">
      <c r="A668" s="4">
        <v>28</v>
      </c>
    </row>
    <row r="669" spans="1:1" x14ac:dyDescent="0.3">
      <c r="A669" s="4">
        <v>128</v>
      </c>
    </row>
    <row r="670" spans="1:1" x14ac:dyDescent="0.3">
      <c r="A670" s="4">
        <v>13</v>
      </c>
    </row>
    <row r="671" spans="1:1" x14ac:dyDescent="0.3">
      <c r="A671" s="4">
        <v>41</v>
      </c>
    </row>
    <row r="672" spans="1:1" x14ac:dyDescent="0.3">
      <c r="A672" s="4">
        <v>45</v>
      </c>
    </row>
    <row r="673" spans="1:1" x14ac:dyDescent="0.3">
      <c r="A673" s="4">
        <v>139</v>
      </c>
    </row>
    <row r="674" spans="1:1" x14ac:dyDescent="0.3">
      <c r="A674" s="4">
        <v>151</v>
      </c>
    </row>
    <row r="675" spans="1:1" x14ac:dyDescent="0.3">
      <c r="A675" s="4">
        <v>432</v>
      </c>
    </row>
    <row r="676" spans="1:1" x14ac:dyDescent="0.3">
      <c r="A676" s="4">
        <v>185</v>
      </c>
    </row>
    <row r="677" spans="1:1" x14ac:dyDescent="0.3">
      <c r="A677" s="4">
        <v>357</v>
      </c>
    </row>
    <row r="678" spans="1:1" x14ac:dyDescent="0.3">
      <c r="A678" s="4">
        <v>397</v>
      </c>
    </row>
    <row r="679" spans="1:1" x14ac:dyDescent="0.3">
      <c r="A679" s="4">
        <v>293</v>
      </c>
    </row>
    <row r="680" spans="1:1" x14ac:dyDescent="0.3">
      <c r="A680" s="4">
        <v>143</v>
      </c>
    </row>
    <row r="681" spans="1:1" x14ac:dyDescent="0.3">
      <c r="A681" s="4">
        <v>147</v>
      </c>
    </row>
    <row r="682" spans="1:1" x14ac:dyDescent="0.3">
      <c r="A682" s="4">
        <v>214</v>
      </c>
    </row>
    <row r="683" spans="1:1" x14ac:dyDescent="0.3">
      <c r="A683" s="4">
        <v>67</v>
      </c>
    </row>
    <row r="684" spans="1:1" x14ac:dyDescent="0.3">
      <c r="A684" s="4">
        <v>205</v>
      </c>
    </row>
    <row r="685" spans="1:1" x14ac:dyDescent="0.3">
      <c r="A685" s="4">
        <v>237</v>
      </c>
    </row>
    <row r="686" spans="1:1" x14ac:dyDescent="0.3">
      <c r="A686" s="4">
        <v>204</v>
      </c>
    </row>
    <row r="687" spans="1:1" x14ac:dyDescent="0.3">
      <c r="A687" s="4">
        <v>27</v>
      </c>
    </row>
    <row r="688" spans="1:1" x14ac:dyDescent="0.3">
      <c r="A688" s="4">
        <v>104</v>
      </c>
    </row>
    <row r="689" spans="1:1" x14ac:dyDescent="0.3">
      <c r="A689" s="4">
        <v>243</v>
      </c>
    </row>
    <row r="690" spans="1:1" x14ac:dyDescent="0.3">
      <c r="A690" s="4">
        <v>7</v>
      </c>
    </row>
    <row r="691" spans="1:1" x14ac:dyDescent="0.3">
      <c r="A691" s="4">
        <v>154</v>
      </c>
    </row>
    <row r="692" spans="1:1" x14ac:dyDescent="0.3">
      <c r="A692" s="4">
        <v>99</v>
      </c>
    </row>
    <row r="693" spans="1:1" x14ac:dyDescent="0.3">
      <c r="A693" s="4">
        <v>378</v>
      </c>
    </row>
    <row r="694" spans="1:1" x14ac:dyDescent="0.3">
      <c r="A694" s="4">
        <v>75</v>
      </c>
    </row>
    <row r="695" spans="1:1" x14ac:dyDescent="0.3">
      <c r="A695" s="4">
        <v>72</v>
      </c>
    </row>
    <row r="696" spans="1:1" x14ac:dyDescent="0.3">
      <c r="A696" s="4">
        <v>238</v>
      </c>
    </row>
    <row r="697" spans="1:1" x14ac:dyDescent="0.3">
      <c r="A697" s="4">
        <v>73</v>
      </c>
    </row>
    <row r="698" spans="1:1" x14ac:dyDescent="0.3">
      <c r="A698" s="4">
        <v>332</v>
      </c>
    </row>
    <row r="699" spans="1:1" x14ac:dyDescent="0.3">
      <c r="A699" s="4">
        <v>100</v>
      </c>
    </row>
    <row r="700" spans="1:1" x14ac:dyDescent="0.3">
      <c r="A700" s="4">
        <v>15</v>
      </c>
    </row>
    <row r="701" spans="1:1" x14ac:dyDescent="0.3">
      <c r="A701" s="4">
        <v>181</v>
      </c>
    </row>
    <row r="702" spans="1:1" x14ac:dyDescent="0.3">
      <c r="A702" s="4">
        <v>37</v>
      </c>
    </row>
    <row r="703" spans="1:1" x14ac:dyDescent="0.3">
      <c r="A703" s="4">
        <v>70</v>
      </c>
    </row>
    <row r="704" spans="1:1" x14ac:dyDescent="0.3">
      <c r="A704" s="4">
        <v>107</v>
      </c>
    </row>
    <row r="705" spans="1:1" x14ac:dyDescent="0.3">
      <c r="A705" s="4">
        <v>28</v>
      </c>
    </row>
    <row r="706" spans="1:1" x14ac:dyDescent="0.3">
      <c r="A706" s="4">
        <v>156</v>
      </c>
    </row>
    <row r="707" spans="1:1" x14ac:dyDescent="0.3">
      <c r="A707" s="4">
        <v>46</v>
      </c>
    </row>
    <row r="708" spans="1:1" x14ac:dyDescent="0.3">
      <c r="A708" s="4">
        <v>231</v>
      </c>
    </row>
    <row r="709" spans="1:1" x14ac:dyDescent="0.3">
      <c r="A709" s="4">
        <v>189</v>
      </c>
    </row>
    <row r="710" spans="1:1" x14ac:dyDescent="0.3">
      <c r="A710" s="4">
        <v>185</v>
      </c>
    </row>
    <row r="711" spans="1:1" x14ac:dyDescent="0.3">
      <c r="A711" s="4">
        <v>29</v>
      </c>
    </row>
    <row r="712" spans="1:1" x14ac:dyDescent="0.3">
      <c r="A712" s="4">
        <v>46</v>
      </c>
    </row>
    <row r="713" spans="1:1" x14ac:dyDescent="0.3">
      <c r="A713" s="4">
        <v>58</v>
      </c>
    </row>
    <row r="714" spans="1:1" x14ac:dyDescent="0.3">
      <c r="A714" s="4">
        <v>276</v>
      </c>
    </row>
    <row r="715" spans="1:1" x14ac:dyDescent="0.3">
      <c r="A715" s="4">
        <v>61</v>
      </c>
    </row>
    <row r="716" spans="1:1" x14ac:dyDescent="0.3">
      <c r="A716" s="4">
        <v>31</v>
      </c>
    </row>
    <row r="717" spans="1:1" x14ac:dyDescent="0.3">
      <c r="A717" s="4">
        <v>299</v>
      </c>
    </row>
    <row r="718" spans="1:1" x14ac:dyDescent="0.3">
      <c r="A718" s="4">
        <v>27</v>
      </c>
    </row>
    <row r="719" spans="1:1" x14ac:dyDescent="0.3">
      <c r="A719" s="4">
        <v>285</v>
      </c>
    </row>
    <row r="720" spans="1:1" x14ac:dyDescent="0.3">
      <c r="A720" s="4">
        <v>114</v>
      </c>
    </row>
    <row r="721" spans="1:1" x14ac:dyDescent="0.3">
      <c r="A721" s="4">
        <v>90</v>
      </c>
    </row>
    <row r="722" spans="1:1" x14ac:dyDescent="0.3">
      <c r="A722" s="4">
        <v>12</v>
      </c>
    </row>
    <row r="723" spans="1:1" x14ac:dyDescent="0.3">
      <c r="A723" s="4">
        <v>463</v>
      </c>
    </row>
    <row r="724" spans="1:1" x14ac:dyDescent="0.3">
      <c r="A724" s="4">
        <v>231</v>
      </c>
    </row>
    <row r="725" spans="1:1" x14ac:dyDescent="0.3">
      <c r="A725" s="4">
        <v>54</v>
      </c>
    </row>
    <row r="726" spans="1:1" x14ac:dyDescent="0.3">
      <c r="A726" s="4">
        <v>74</v>
      </c>
    </row>
    <row r="727" spans="1:1" x14ac:dyDescent="0.3">
      <c r="A727" s="4">
        <v>181</v>
      </c>
    </row>
    <row r="728" spans="1:1" x14ac:dyDescent="0.3">
      <c r="A728" s="4">
        <v>141</v>
      </c>
    </row>
    <row r="729" spans="1:1" x14ac:dyDescent="0.3">
      <c r="A729" s="4">
        <v>116</v>
      </c>
    </row>
    <row r="730" spans="1:1" x14ac:dyDescent="0.3">
      <c r="A730" s="4">
        <v>300</v>
      </c>
    </row>
    <row r="731" spans="1:1" x14ac:dyDescent="0.3">
      <c r="A731" s="4">
        <v>81</v>
      </c>
    </row>
    <row r="732" spans="1:1" x14ac:dyDescent="0.3">
      <c r="A732" s="4">
        <v>124</v>
      </c>
    </row>
    <row r="733" spans="1:1" x14ac:dyDescent="0.3">
      <c r="A733" s="4">
        <v>343</v>
      </c>
    </row>
    <row r="734" spans="1:1" x14ac:dyDescent="0.3">
      <c r="A734" s="4">
        <v>49</v>
      </c>
    </row>
    <row r="735" spans="1:1" x14ac:dyDescent="0.3">
      <c r="A735" s="4">
        <v>121</v>
      </c>
    </row>
    <row r="736" spans="1:1" x14ac:dyDescent="0.3">
      <c r="A736" s="4">
        <v>63</v>
      </c>
    </row>
    <row r="737" spans="1:1" x14ac:dyDescent="0.3">
      <c r="A737" s="4">
        <v>158</v>
      </c>
    </row>
    <row r="738" spans="1:1" x14ac:dyDescent="0.3">
      <c r="A738" s="4">
        <v>304</v>
      </c>
    </row>
    <row r="739" spans="1:1" x14ac:dyDescent="0.3">
      <c r="A739" s="4">
        <v>52</v>
      </c>
    </row>
    <row r="740" spans="1:1" x14ac:dyDescent="0.3">
      <c r="A740" s="4">
        <v>37</v>
      </c>
    </row>
    <row r="741" spans="1:1" x14ac:dyDescent="0.3">
      <c r="A741" s="4">
        <v>27</v>
      </c>
    </row>
    <row r="742" spans="1:1" x14ac:dyDescent="0.3">
      <c r="A742" s="4">
        <v>310</v>
      </c>
    </row>
    <row r="743" spans="1:1" x14ac:dyDescent="0.3">
      <c r="A743" s="4">
        <v>48</v>
      </c>
    </row>
    <row r="744" spans="1:1" x14ac:dyDescent="0.3">
      <c r="A744" s="4">
        <v>330</v>
      </c>
    </row>
    <row r="745" spans="1:1" x14ac:dyDescent="0.3">
      <c r="A745" s="4">
        <v>83</v>
      </c>
    </row>
    <row r="746" spans="1:1" x14ac:dyDescent="0.3">
      <c r="A746" s="4">
        <v>25</v>
      </c>
    </row>
    <row r="747" spans="1:1" x14ac:dyDescent="0.3">
      <c r="A747" s="4">
        <v>4</v>
      </c>
    </row>
    <row r="748" spans="1:1" x14ac:dyDescent="0.3">
      <c r="A748" s="4">
        <v>22</v>
      </c>
    </row>
    <row r="749" spans="1:1" x14ac:dyDescent="0.3">
      <c r="A749" s="4">
        <v>318</v>
      </c>
    </row>
    <row r="750" spans="1:1" x14ac:dyDescent="0.3">
      <c r="A750" s="4">
        <v>72</v>
      </c>
    </row>
    <row r="751" spans="1:1" x14ac:dyDescent="0.3">
      <c r="A751" s="4">
        <v>199</v>
      </c>
    </row>
    <row r="752" spans="1:1" x14ac:dyDescent="0.3">
      <c r="A752" s="4">
        <v>342</v>
      </c>
    </row>
    <row r="753" spans="1:1" x14ac:dyDescent="0.3">
      <c r="A753" s="4">
        <v>169</v>
      </c>
    </row>
    <row r="754" spans="1:1" x14ac:dyDescent="0.3">
      <c r="A754" s="4">
        <v>242</v>
      </c>
    </row>
    <row r="755" spans="1:1" x14ac:dyDescent="0.3">
      <c r="A755" s="4">
        <v>17</v>
      </c>
    </row>
    <row r="756" spans="1:1" x14ac:dyDescent="0.3">
      <c r="A756" s="4">
        <v>21</v>
      </c>
    </row>
    <row r="757" spans="1:1" x14ac:dyDescent="0.3">
      <c r="A757" s="4">
        <v>41</v>
      </c>
    </row>
    <row r="758" spans="1:1" x14ac:dyDescent="0.3">
      <c r="A758" s="4">
        <v>177</v>
      </c>
    </row>
    <row r="759" spans="1:1" x14ac:dyDescent="0.3">
      <c r="A759" s="4">
        <v>34</v>
      </c>
    </row>
    <row r="760" spans="1:1" x14ac:dyDescent="0.3">
      <c r="A760" s="4">
        <v>84</v>
      </c>
    </row>
    <row r="761" spans="1:1" x14ac:dyDescent="0.3">
      <c r="A761" s="4">
        <v>248</v>
      </c>
    </row>
    <row r="762" spans="1:1" x14ac:dyDescent="0.3">
      <c r="A762" s="4">
        <v>313</v>
      </c>
    </row>
    <row r="763" spans="1:1" x14ac:dyDescent="0.3">
      <c r="A763" s="4">
        <v>139</v>
      </c>
    </row>
    <row r="764" spans="1:1" x14ac:dyDescent="0.3">
      <c r="A764" s="4">
        <v>49</v>
      </c>
    </row>
    <row r="765" spans="1:1" x14ac:dyDescent="0.3">
      <c r="A765" s="4">
        <v>36</v>
      </c>
    </row>
    <row r="766" spans="1:1" x14ac:dyDescent="0.3">
      <c r="A766" s="4">
        <v>376</v>
      </c>
    </row>
    <row r="767" spans="1:1" x14ac:dyDescent="0.3">
      <c r="A767" s="4">
        <v>231</v>
      </c>
    </row>
    <row r="768" spans="1:1" x14ac:dyDescent="0.3">
      <c r="A768" s="4">
        <v>66</v>
      </c>
    </row>
    <row r="769" spans="1:1" x14ac:dyDescent="0.3">
      <c r="A769" s="4">
        <v>91</v>
      </c>
    </row>
    <row r="770" spans="1:1" x14ac:dyDescent="0.3">
      <c r="A770" s="4">
        <v>26</v>
      </c>
    </row>
    <row r="771" spans="1:1" x14ac:dyDescent="0.3">
      <c r="A771" s="4">
        <v>58</v>
      </c>
    </row>
    <row r="772" spans="1:1" x14ac:dyDescent="0.3">
      <c r="A772" s="4">
        <v>48</v>
      </c>
    </row>
    <row r="773" spans="1:1" x14ac:dyDescent="0.3">
      <c r="A773" s="4">
        <v>15</v>
      </c>
    </row>
    <row r="774" spans="1:1" x14ac:dyDescent="0.3">
      <c r="A774" s="4">
        <v>69</v>
      </c>
    </row>
    <row r="775" spans="1:1" x14ac:dyDescent="0.3">
      <c r="A775" s="4">
        <v>63</v>
      </c>
    </row>
    <row r="776" spans="1:1" x14ac:dyDescent="0.3">
      <c r="A776" s="4">
        <v>190</v>
      </c>
    </row>
    <row r="777" spans="1:1" x14ac:dyDescent="0.3">
      <c r="A777" s="4">
        <v>363</v>
      </c>
    </row>
    <row r="778" spans="1:1" x14ac:dyDescent="0.3">
      <c r="A778" s="4">
        <v>70</v>
      </c>
    </row>
    <row r="779" spans="1:1" x14ac:dyDescent="0.3">
      <c r="A779" s="4">
        <v>36</v>
      </c>
    </row>
    <row r="780" spans="1:1" x14ac:dyDescent="0.3">
      <c r="A780" s="4">
        <v>222</v>
      </c>
    </row>
    <row r="781" spans="1:1" x14ac:dyDescent="0.3">
      <c r="A781" s="4">
        <v>216</v>
      </c>
    </row>
    <row r="782" spans="1:1" x14ac:dyDescent="0.3">
      <c r="A782" s="4">
        <v>328</v>
      </c>
    </row>
    <row r="783" spans="1:1" x14ac:dyDescent="0.3">
      <c r="A783" s="4">
        <v>49</v>
      </c>
    </row>
    <row r="784" spans="1:1" x14ac:dyDescent="0.3">
      <c r="A784" s="4">
        <v>11</v>
      </c>
    </row>
    <row r="785" spans="1:1" x14ac:dyDescent="0.3">
      <c r="A785" s="4">
        <v>208</v>
      </c>
    </row>
    <row r="786" spans="1:1" x14ac:dyDescent="0.3">
      <c r="A786" s="4">
        <v>189</v>
      </c>
    </row>
    <row r="787" spans="1:1" x14ac:dyDescent="0.3">
      <c r="A787" s="4">
        <v>266</v>
      </c>
    </row>
    <row r="788" spans="1:1" x14ac:dyDescent="0.3">
      <c r="A788" s="4">
        <v>13</v>
      </c>
    </row>
    <row r="789" spans="1:1" x14ac:dyDescent="0.3">
      <c r="A789" s="4">
        <v>187</v>
      </c>
    </row>
    <row r="790" spans="1:1" x14ac:dyDescent="0.3">
      <c r="A790" s="4">
        <v>415</v>
      </c>
    </row>
    <row r="791" spans="1:1" x14ac:dyDescent="0.3">
      <c r="A791" s="4">
        <v>276</v>
      </c>
    </row>
    <row r="792" spans="1:1" x14ac:dyDescent="0.3">
      <c r="A792" s="4">
        <v>46</v>
      </c>
    </row>
    <row r="793" spans="1:1" x14ac:dyDescent="0.3">
      <c r="A793" s="4">
        <v>435</v>
      </c>
    </row>
    <row r="794" spans="1:1" x14ac:dyDescent="0.3">
      <c r="A794" s="4">
        <v>324</v>
      </c>
    </row>
    <row r="795" spans="1:1" x14ac:dyDescent="0.3">
      <c r="A795" s="4">
        <v>91</v>
      </c>
    </row>
    <row r="796" spans="1:1" x14ac:dyDescent="0.3">
      <c r="A796" s="4">
        <v>150</v>
      </c>
    </row>
    <row r="797" spans="1:1" x14ac:dyDescent="0.3">
      <c r="A797" s="4">
        <v>225</v>
      </c>
    </row>
    <row r="798" spans="1:1" x14ac:dyDescent="0.3">
      <c r="A798" s="4">
        <v>220</v>
      </c>
    </row>
    <row r="799" spans="1:1" x14ac:dyDescent="0.3">
      <c r="A799" s="4">
        <v>367</v>
      </c>
    </row>
    <row r="800" spans="1:1" x14ac:dyDescent="0.3">
      <c r="A800" s="4">
        <v>86</v>
      </c>
    </row>
    <row r="801" spans="1:1" x14ac:dyDescent="0.3">
      <c r="A801" s="4">
        <v>334</v>
      </c>
    </row>
    <row r="802" spans="1:1" x14ac:dyDescent="0.3">
      <c r="A802" s="4">
        <v>260</v>
      </c>
    </row>
    <row r="803" spans="1:1" x14ac:dyDescent="0.3">
      <c r="A803" s="4">
        <v>117</v>
      </c>
    </row>
    <row r="804" spans="1:1" x14ac:dyDescent="0.3">
      <c r="A804" s="4">
        <v>231</v>
      </c>
    </row>
    <row r="805" spans="1:1" x14ac:dyDescent="0.3">
      <c r="A805" s="4">
        <v>24</v>
      </c>
    </row>
    <row r="806" spans="1:1" x14ac:dyDescent="0.3">
      <c r="A806" s="4">
        <v>201</v>
      </c>
    </row>
    <row r="807" spans="1:1" x14ac:dyDescent="0.3">
      <c r="A807" s="4">
        <v>57</v>
      </c>
    </row>
    <row r="808" spans="1:1" x14ac:dyDescent="0.3">
      <c r="A808" s="4">
        <v>200</v>
      </c>
    </row>
    <row r="809" spans="1:1" x14ac:dyDescent="0.3">
      <c r="A809" s="4">
        <v>120</v>
      </c>
    </row>
    <row r="810" spans="1:1" x14ac:dyDescent="0.3">
      <c r="A810" s="4">
        <v>56</v>
      </c>
    </row>
    <row r="811" spans="1:1" x14ac:dyDescent="0.3">
      <c r="A811" s="4">
        <v>145</v>
      </c>
    </row>
    <row r="812" spans="1:1" x14ac:dyDescent="0.3">
      <c r="A812" s="4">
        <v>428</v>
      </c>
    </row>
    <row r="813" spans="1:1" x14ac:dyDescent="0.3">
      <c r="A813" s="4">
        <v>65</v>
      </c>
    </row>
    <row r="814" spans="1:1" x14ac:dyDescent="0.3">
      <c r="A814" s="4">
        <v>188</v>
      </c>
    </row>
    <row r="815" spans="1:1" x14ac:dyDescent="0.3">
      <c r="A815" s="4">
        <v>153</v>
      </c>
    </row>
    <row r="816" spans="1:1" x14ac:dyDescent="0.3">
      <c r="A816" s="4">
        <v>212</v>
      </c>
    </row>
    <row r="817" spans="1:1" x14ac:dyDescent="0.3">
      <c r="A817" s="4">
        <v>160</v>
      </c>
    </row>
    <row r="818" spans="1:1" x14ac:dyDescent="0.3">
      <c r="A818" s="4">
        <v>46</v>
      </c>
    </row>
    <row r="819" spans="1:1" x14ac:dyDescent="0.3">
      <c r="A819" s="4">
        <v>156</v>
      </c>
    </row>
    <row r="820" spans="1:1" x14ac:dyDescent="0.3">
      <c r="A820" s="4">
        <v>148</v>
      </c>
    </row>
    <row r="821" spans="1:1" x14ac:dyDescent="0.3">
      <c r="A821" s="4">
        <v>21</v>
      </c>
    </row>
    <row r="822" spans="1:1" x14ac:dyDescent="0.3">
      <c r="A822" s="4">
        <v>80</v>
      </c>
    </row>
    <row r="823" spans="1:1" x14ac:dyDescent="0.3">
      <c r="A823" s="4">
        <v>160</v>
      </c>
    </row>
    <row r="824" spans="1:1" x14ac:dyDescent="0.3">
      <c r="A824" s="4">
        <v>92</v>
      </c>
    </row>
    <row r="825" spans="1:1" x14ac:dyDescent="0.3">
      <c r="A825" s="4">
        <v>198</v>
      </c>
    </row>
    <row r="826" spans="1:1" x14ac:dyDescent="0.3">
      <c r="A826" s="4">
        <v>47</v>
      </c>
    </row>
    <row r="827" spans="1:1" x14ac:dyDescent="0.3">
      <c r="A827" s="4">
        <v>255</v>
      </c>
    </row>
    <row r="828" spans="1:1" x14ac:dyDescent="0.3">
      <c r="A828" s="4">
        <v>62</v>
      </c>
    </row>
    <row r="829" spans="1:1" x14ac:dyDescent="0.3">
      <c r="A829" s="4">
        <v>21</v>
      </c>
    </row>
    <row r="830" spans="1:1" x14ac:dyDescent="0.3">
      <c r="A830" s="4">
        <v>234</v>
      </c>
    </row>
    <row r="831" spans="1:1" x14ac:dyDescent="0.3">
      <c r="A831" s="4">
        <v>118</v>
      </c>
    </row>
    <row r="832" spans="1:1" x14ac:dyDescent="0.3">
      <c r="A832" s="4">
        <v>71</v>
      </c>
    </row>
    <row r="833" spans="1:1" x14ac:dyDescent="0.3">
      <c r="A833" s="4">
        <v>67</v>
      </c>
    </row>
    <row r="834" spans="1:1" x14ac:dyDescent="0.3">
      <c r="A834" s="4">
        <v>55</v>
      </c>
    </row>
    <row r="835" spans="1:1" x14ac:dyDescent="0.3">
      <c r="A835" s="4">
        <v>143</v>
      </c>
    </row>
    <row r="836" spans="1:1" x14ac:dyDescent="0.3">
      <c r="A836" s="4">
        <v>86</v>
      </c>
    </row>
    <row r="837" spans="1:1" x14ac:dyDescent="0.3">
      <c r="A837" s="4">
        <v>69</v>
      </c>
    </row>
    <row r="838" spans="1:1" x14ac:dyDescent="0.3">
      <c r="A838" s="4">
        <v>135</v>
      </c>
    </row>
    <row r="839" spans="1:1" x14ac:dyDescent="0.3">
      <c r="A839" s="4">
        <v>12</v>
      </c>
    </row>
    <row r="840" spans="1:1" x14ac:dyDescent="0.3">
      <c r="A840" s="4">
        <v>11</v>
      </c>
    </row>
    <row r="841" spans="1:1" x14ac:dyDescent="0.3">
      <c r="A841" s="4">
        <v>37</v>
      </c>
    </row>
    <row r="842" spans="1:1" x14ac:dyDescent="0.3">
      <c r="A842" s="4">
        <v>98</v>
      </c>
    </row>
    <row r="843" spans="1:1" x14ac:dyDescent="0.3">
      <c r="A843" s="4">
        <v>216</v>
      </c>
    </row>
    <row r="844" spans="1:1" x14ac:dyDescent="0.3">
      <c r="A844" s="4">
        <v>151</v>
      </c>
    </row>
    <row r="845" spans="1:1" x14ac:dyDescent="0.3">
      <c r="A845" s="4">
        <v>252</v>
      </c>
    </row>
    <row r="846" spans="1:1" x14ac:dyDescent="0.3">
      <c r="A846" s="4">
        <v>35</v>
      </c>
    </row>
    <row r="847" spans="1:1" x14ac:dyDescent="0.3">
      <c r="A847" s="4">
        <v>103</v>
      </c>
    </row>
    <row r="848" spans="1:1" x14ac:dyDescent="0.3">
      <c r="A848" s="4">
        <v>102</v>
      </c>
    </row>
    <row r="849" spans="1:1" x14ac:dyDescent="0.3">
      <c r="A849" s="4">
        <v>246</v>
      </c>
    </row>
    <row r="850" spans="1:1" x14ac:dyDescent="0.3">
      <c r="A850" s="4">
        <v>69</v>
      </c>
    </row>
    <row r="851" spans="1:1" x14ac:dyDescent="0.3">
      <c r="A851" s="4">
        <v>112</v>
      </c>
    </row>
    <row r="852" spans="1:1" x14ac:dyDescent="0.3">
      <c r="A852" s="4">
        <v>62</v>
      </c>
    </row>
    <row r="853" spans="1:1" x14ac:dyDescent="0.3">
      <c r="A853" s="4">
        <v>8</v>
      </c>
    </row>
    <row r="854" spans="1:1" x14ac:dyDescent="0.3">
      <c r="A854" s="4">
        <v>54</v>
      </c>
    </row>
    <row r="855" spans="1:1" x14ac:dyDescent="0.3">
      <c r="A855" s="4">
        <v>188</v>
      </c>
    </row>
    <row r="856" spans="1:1" x14ac:dyDescent="0.3">
      <c r="A856" s="4">
        <v>196</v>
      </c>
    </row>
    <row r="857" spans="1:1" x14ac:dyDescent="0.3">
      <c r="A857" s="4">
        <v>265</v>
      </c>
    </row>
    <row r="858" spans="1:1" x14ac:dyDescent="0.3">
      <c r="A858" s="4">
        <v>144</v>
      </c>
    </row>
    <row r="859" spans="1:1" x14ac:dyDescent="0.3">
      <c r="A859" s="4">
        <v>53</v>
      </c>
    </row>
    <row r="860" spans="1:1" x14ac:dyDescent="0.3">
      <c r="A860" s="4">
        <v>127</v>
      </c>
    </row>
    <row r="861" spans="1:1" x14ac:dyDescent="0.3">
      <c r="A861" s="4">
        <v>156</v>
      </c>
    </row>
    <row r="862" spans="1:1" x14ac:dyDescent="0.3">
      <c r="A862" s="4">
        <v>63</v>
      </c>
    </row>
    <row r="863" spans="1:1" x14ac:dyDescent="0.3">
      <c r="A863" s="4">
        <v>384</v>
      </c>
    </row>
    <row r="864" spans="1:1" x14ac:dyDescent="0.3">
      <c r="A864" s="4">
        <v>181</v>
      </c>
    </row>
    <row r="865" spans="1:1" x14ac:dyDescent="0.3">
      <c r="A865" s="4">
        <v>337</v>
      </c>
    </row>
    <row r="866" spans="1:1" x14ac:dyDescent="0.3">
      <c r="A866" s="4">
        <v>43</v>
      </c>
    </row>
    <row r="867" spans="1:1" x14ac:dyDescent="0.3">
      <c r="A867" s="4">
        <v>130</v>
      </c>
    </row>
    <row r="868" spans="1:1" x14ac:dyDescent="0.3">
      <c r="A868" s="4">
        <v>376</v>
      </c>
    </row>
    <row r="869" spans="1:1" x14ac:dyDescent="0.3">
      <c r="A869" s="4">
        <v>179</v>
      </c>
    </row>
    <row r="870" spans="1:1" x14ac:dyDescent="0.3">
      <c r="A870" s="4">
        <v>327</v>
      </c>
    </row>
    <row r="871" spans="1:1" x14ac:dyDescent="0.3">
      <c r="A871" s="4">
        <v>227</v>
      </c>
    </row>
    <row r="872" spans="1:1" x14ac:dyDescent="0.3">
      <c r="A872" s="4">
        <v>84</v>
      </c>
    </row>
    <row r="873" spans="1:1" x14ac:dyDescent="0.3">
      <c r="A873" s="4">
        <v>45</v>
      </c>
    </row>
    <row r="874" spans="1:1" x14ac:dyDescent="0.3">
      <c r="A874" s="4">
        <v>130</v>
      </c>
    </row>
    <row r="875" spans="1:1" x14ac:dyDescent="0.3">
      <c r="A875" s="4">
        <v>47</v>
      </c>
    </row>
    <row r="876" spans="1:1" x14ac:dyDescent="0.3">
      <c r="A876" s="4">
        <v>240</v>
      </c>
    </row>
    <row r="877" spans="1:1" x14ac:dyDescent="0.3">
      <c r="A877" s="4">
        <v>292</v>
      </c>
    </row>
    <row r="878" spans="1:1" x14ac:dyDescent="0.3">
      <c r="A878" s="4">
        <v>231</v>
      </c>
    </row>
    <row r="879" spans="1:1" x14ac:dyDescent="0.3">
      <c r="A879" s="4">
        <v>104</v>
      </c>
    </row>
    <row r="880" spans="1:1" x14ac:dyDescent="0.3">
      <c r="A880" s="4">
        <v>64</v>
      </c>
    </row>
    <row r="881" spans="1:1" x14ac:dyDescent="0.3">
      <c r="A881" s="4">
        <v>197</v>
      </c>
    </row>
    <row r="882" spans="1:1" x14ac:dyDescent="0.3">
      <c r="A882" s="4">
        <v>156</v>
      </c>
    </row>
    <row r="883" spans="1:1" x14ac:dyDescent="0.3">
      <c r="A883" s="4">
        <v>185</v>
      </c>
    </row>
    <row r="884" spans="1:1" x14ac:dyDescent="0.3">
      <c r="A884" s="4">
        <v>220</v>
      </c>
    </row>
    <row r="885" spans="1:1" x14ac:dyDescent="0.3">
      <c r="A885" s="4">
        <v>122</v>
      </c>
    </row>
    <row r="886" spans="1:1" x14ac:dyDescent="0.3">
      <c r="A886" s="4">
        <v>134</v>
      </c>
    </row>
    <row r="887" spans="1:1" x14ac:dyDescent="0.3">
      <c r="A887" s="4">
        <v>351</v>
      </c>
    </row>
    <row r="888" spans="1:1" x14ac:dyDescent="0.3">
      <c r="A888" s="4">
        <v>78</v>
      </c>
    </row>
    <row r="889" spans="1:1" x14ac:dyDescent="0.3">
      <c r="A889" s="4">
        <v>206</v>
      </c>
    </row>
    <row r="890" spans="1:1" x14ac:dyDescent="0.3">
      <c r="A890" s="4">
        <v>252</v>
      </c>
    </row>
    <row r="891" spans="1:1" x14ac:dyDescent="0.3">
      <c r="A891" s="4">
        <v>16</v>
      </c>
    </row>
    <row r="892" spans="1:1" x14ac:dyDescent="0.3">
      <c r="A892" s="4">
        <v>240</v>
      </c>
    </row>
    <row r="893" spans="1:1" x14ac:dyDescent="0.3">
      <c r="A893" s="4">
        <v>23</v>
      </c>
    </row>
    <row r="894" spans="1:1" x14ac:dyDescent="0.3">
      <c r="A894" s="4">
        <v>235</v>
      </c>
    </row>
    <row r="895" spans="1:1" x14ac:dyDescent="0.3">
      <c r="A895" s="4">
        <v>13</v>
      </c>
    </row>
    <row r="896" spans="1:1" x14ac:dyDescent="0.3">
      <c r="A896" s="4">
        <v>145</v>
      </c>
    </row>
    <row r="897" spans="1:1" x14ac:dyDescent="0.3">
      <c r="A897" s="4">
        <v>47</v>
      </c>
    </row>
    <row r="898" spans="1:1" x14ac:dyDescent="0.3">
      <c r="A898" s="4">
        <v>311</v>
      </c>
    </row>
    <row r="899" spans="1:1" x14ac:dyDescent="0.3">
      <c r="A899" s="4">
        <v>66</v>
      </c>
    </row>
    <row r="900" spans="1:1" x14ac:dyDescent="0.3">
      <c r="A900" s="4">
        <v>138</v>
      </c>
    </row>
    <row r="901" spans="1:1" x14ac:dyDescent="0.3">
      <c r="A901" s="4">
        <v>57</v>
      </c>
    </row>
    <row r="902" spans="1:1" x14ac:dyDescent="0.3">
      <c r="A902" s="4">
        <v>27</v>
      </c>
    </row>
    <row r="903" spans="1:1" x14ac:dyDescent="0.3">
      <c r="A903" s="4">
        <v>21</v>
      </c>
    </row>
    <row r="904" spans="1:1" x14ac:dyDescent="0.3">
      <c r="A904" s="4">
        <v>150</v>
      </c>
    </row>
    <row r="905" spans="1:1" x14ac:dyDescent="0.3">
      <c r="A905" s="4">
        <v>296</v>
      </c>
    </row>
    <row r="906" spans="1:1" x14ac:dyDescent="0.3">
      <c r="A906" s="4">
        <v>302</v>
      </c>
    </row>
    <row r="907" spans="1:1" x14ac:dyDescent="0.3">
      <c r="A907" s="4">
        <v>376</v>
      </c>
    </row>
    <row r="908" spans="1:1" x14ac:dyDescent="0.3">
      <c r="A908" s="4">
        <v>123</v>
      </c>
    </row>
    <row r="909" spans="1:1" x14ac:dyDescent="0.3">
      <c r="A909" s="4">
        <v>97</v>
      </c>
    </row>
    <row r="910" spans="1:1" x14ac:dyDescent="0.3">
      <c r="A910" s="4">
        <v>241</v>
      </c>
    </row>
    <row r="911" spans="1:1" x14ac:dyDescent="0.3">
      <c r="A911" s="4">
        <v>10</v>
      </c>
    </row>
    <row r="912" spans="1:1" x14ac:dyDescent="0.3">
      <c r="A912" s="4">
        <v>74</v>
      </c>
    </row>
    <row r="913" spans="1:1" x14ac:dyDescent="0.3">
      <c r="A913" s="4">
        <v>232</v>
      </c>
    </row>
    <row r="914" spans="1:1" x14ac:dyDescent="0.3">
      <c r="A914" s="4">
        <v>380</v>
      </c>
    </row>
    <row r="915" spans="1:1" x14ac:dyDescent="0.3">
      <c r="A915" s="4">
        <v>263</v>
      </c>
    </row>
    <row r="916" spans="1:1" x14ac:dyDescent="0.3">
      <c r="A916" s="4">
        <v>66</v>
      </c>
    </row>
    <row r="917" spans="1:1" x14ac:dyDescent="0.3">
      <c r="A917" s="4">
        <v>175</v>
      </c>
    </row>
    <row r="918" spans="1:1" x14ac:dyDescent="0.3">
      <c r="A918" s="4">
        <v>61</v>
      </c>
    </row>
    <row r="919" spans="1:1" x14ac:dyDescent="0.3">
      <c r="A919" s="4">
        <v>237</v>
      </c>
    </row>
    <row r="920" spans="1:1" x14ac:dyDescent="0.3">
      <c r="A920" s="4">
        <v>174</v>
      </c>
    </row>
    <row r="921" spans="1:1" x14ac:dyDescent="0.3">
      <c r="A921" s="4">
        <v>324</v>
      </c>
    </row>
    <row r="922" spans="1:1" x14ac:dyDescent="0.3">
      <c r="A922" s="4">
        <v>106</v>
      </c>
    </row>
    <row r="923" spans="1:1" x14ac:dyDescent="0.3">
      <c r="A923" s="4">
        <v>175</v>
      </c>
    </row>
    <row r="924" spans="1:1" x14ac:dyDescent="0.3">
      <c r="A924" s="4">
        <v>402</v>
      </c>
    </row>
    <row r="925" spans="1:1" x14ac:dyDescent="0.3">
      <c r="A925" s="4">
        <v>78</v>
      </c>
    </row>
    <row r="926" spans="1:1" x14ac:dyDescent="0.3">
      <c r="A926" s="4">
        <v>140</v>
      </c>
    </row>
    <row r="927" spans="1:1" x14ac:dyDescent="0.3">
      <c r="A927" s="4">
        <v>112</v>
      </c>
    </row>
    <row r="928" spans="1:1" x14ac:dyDescent="0.3">
      <c r="A928" s="4">
        <v>76</v>
      </c>
    </row>
    <row r="929" spans="1:1" x14ac:dyDescent="0.3">
      <c r="A929" s="4">
        <v>130</v>
      </c>
    </row>
    <row r="930" spans="1:1" x14ac:dyDescent="0.3">
      <c r="A930" s="4">
        <v>197</v>
      </c>
    </row>
    <row r="931" spans="1:1" x14ac:dyDescent="0.3">
      <c r="A931" s="4">
        <v>56</v>
      </c>
    </row>
    <row r="932" spans="1:1" x14ac:dyDescent="0.3">
      <c r="A932" s="4">
        <v>83</v>
      </c>
    </row>
    <row r="933" spans="1:1" x14ac:dyDescent="0.3">
      <c r="A933" s="4">
        <v>417</v>
      </c>
    </row>
    <row r="934" spans="1:1" x14ac:dyDescent="0.3">
      <c r="A934" s="4">
        <v>42</v>
      </c>
    </row>
    <row r="935" spans="1:1" x14ac:dyDescent="0.3">
      <c r="A935" s="4">
        <v>123</v>
      </c>
    </row>
    <row r="936" spans="1:1" x14ac:dyDescent="0.3">
      <c r="A936" s="4">
        <v>45</v>
      </c>
    </row>
    <row r="937" spans="1:1" x14ac:dyDescent="0.3">
      <c r="A937" s="4">
        <v>47</v>
      </c>
    </row>
    <row r="938" spans="1:1" x14ac:dyDescent="0.3">
      <c r="A938" s="4">
        <v>67</v>
      </c>
    </row>
    <row r="939" spans="1:1" x14ac:dyDescent="0.3">
      <c r="A939" s="4">
        <v>53</v>
      </c>
    </row>
    <row r="940" spans="1:1" x14ac:dyDescent="0.3">
      <c r="A940" s="4">
        <v>180</v>
      </c>
    </row>
    <row r="941" spans="1:1" x14ac:dyDescent="0.3">
      <c r="A941" s="4">
        <v>185</v>
      </c>
    </row>
    <row r="942" spans="1:1" x14ac:dyDescent="0.3">
      <c r="A942" s="4">
        <v>140</v>
      </c>
    </row>
    <row r="943" spans="1:1" x14ac:dyDescent="0.3">
      <c r="A943" s="4">
        <v>122</v>
      </c>
    </row>
    <row r="944" spans="1:1" x14ac:dyDescent="0.3">
      <c r="A944" s="4">
        <v>9</v>
      </c>
    </row>
    <row r="945" spans="1:1" x14ac:dyDescent="0.3">
      <c r="A945" s="4">
        <v>58</v>
      </c>
    </row>
    <row r="946" spans="1:1" x14ac:dyDescent="0.3">
      <c r="A946" s="4">
        <v>53</v>
      </c>
    </row>
    <row r="947" spans="1:1" x14ac:dyDescent="0.3">
      <c r="A947" s="4">
        <v>88</v>
      </c>
    </row>
    <row r="948" spans="1:1" x14ac:dyDescent="0.3">
      <c r="A948" s="4">
        <v>87</v>
      </c>
    </row>
    <row r="949" spans="1:1" x14ac:dyDescent="0.3">
      <c r="A949" s="4">
        <v>56</v>
      </c>
    </row>
    <row r="950" spans="1:1" x14ac:dyDescent="0.3">
      <c r="A950" s="4">
        <v>70</v>
      </c>
    </row>
    <row r="951" spans="1:1" x14ac:dyDescent="0.3">
      <c r="A951" s="4">
        <v>105</v>
      </c>
    </row>
    <row r="952" spans="1:1" x14ac:dyDescent="0.3">
      <c r="A952" s="4">
        <v>59</v>
      </c>
    </row>
    <row r="953" spans="1:1" x14ac:dyDescent="0.3">
      <c r="A953" s="4">
        <v>19</v>
      </c>
    </row>
    <row r="954" spans="1:1" x14ac:dyDescent="0.3">
      <c r="A954" s="4">
        <v>187</v>
      </c>
    </row>
    <row r="955" spans="1:1" x14ac:dyDescent="0.3">
      <c r="A955" s="4">
        <v>231</v>
      </c>
    </row>
    <row r="956" spans="1:1" x14ac:dyDescent="0.3">
      <c r="A956" s="4">
        <v>155</v>
      </c>
    </row>
    <row r="957" spans="1:1" x14ac:dyDescent="0.3">
      <c r="A957" s="4">
        <v>74</v>
      </c>
    </row>
    <row r="958" spans="1:1" x14ac:dyDescent="0.3">
      <c r="A958" s="4">
        <v>61</v>
      </c>
    </row>
    <row r="959" spans="1:1" x14ac:dyDescent="0.3">
      <c r="A959" s="4">
        <v>206</v>
      </c>
    </row>
    <row r="960" spans="1:1" x14ac:dyDescent="0.3">
      <c r="A960" s="4">
        <v>77</v>
      </c>
    </row>
    <row r="961" spans="1:1" x14ac:dyDescent="0.3">
      <c r="A961" s="4">
        <v>244</v>
      </c>
    </row>
    <row r="962" spans="1:1" x14ac:dyDescent="0.3">
      <c r="A962" s="4">
        <v>269</v>
      </c>
    </row>
    <row r="963" spans="1:1" x14ac:dyDescent="0.3">
      <c r="A963" s="4">
        <v>237</v>
      </c>
    </row>
    <row r="964" spans="1:1" x14ac:dyDescent="0.3">
      <c r="A964" s="4">
        <v>289</v>
      </c>
    </row>
    <row r="965" spans="1:1" x14ac:dyDescent="0.3">
      <c r="A965" s="4">
        <v>44</v>
      </c>
    </row>
    <row r="966" spans="1:1" x14ac:dyDescent="0.3">
      <c r="A966" s="4">
        <v>218</v>
      </c>
    </row>
    <row r="967" spans="1:1" x14ac:dyDescent="0.3">
      <c r="A967" s="4">
        <v>151</v>
      </c>
    </row>
    <row r="968" spans="1:1" x14ac:dyDescent="0.3">
      <c r="A968" s="4">
        <v>46</v>
      </c>
    </row>
    <row r="969" spans="1:1" x14ac:dyDescent="0.3">
      <c r="A969" s="4">
        <v>21</v>
      </c>
    </row>
    <row r="970" spans="1:1" x14ac:dyDescent="0.3">
      <c r="A970" s="4">
        <v>88</v>
      </c>
    </row>
    <row r="971" spans="1:1" x14ac:dyDescent="0.3">
      <c r="A971" s="4">
        <v>23</v>
      </c>
    </row>
    <row r="972" spans="1:1" x14ac:dyDescent="0.3">
      <c r="A972" s="4">
        <v>422</v>
      </c>
    </row>
    <row r="973" spans="1:1" x14ac:dyDescent="0.3">
      <c r="A973" s="4">
        <v>45</v>
      </c>
    </row>
    <row r="974" spans="1:1" x14ac:dyDescent="0.3">
      <c r="A974" s="4">
        <v>119</v>
      </c>
    </row>
    <row r="975" spans="1:1" x14ac:dyDescent="0.3">
      <c r="A975" s="4">
        <v>88</v>
      </c>
    </row>
    <row r="976" spans="1:1" x14ac:dyDescent="0.3">
      <c r="A976" s="4">
        <v>215</v>
      </c>
    </row>
    <row r="977" spans="1:1" x14ac:dyDescent="0.3">
      <c r="A977" s="4">
        <v>8</v>
      </c>
    </row>
    <row r="978" spans="1:1" x14ac:dyDescent="0.3">
      <c r="A978" s="4">
        <v>25</v>
      </c>
    </row>
    <row r="979" spans="1:1" x14ac:dyDescent="0.3">
      <c r="A979" s="4">
        <v>31</v>
      </c>
    </row>
    <row r="980" spans="1:1" x14ac:dyDescent="0.3">
      <c r="A980" s="4">
        <v>276</v>
      </c>
    </row>
    <row r="981" spans="1:1" x14ac:dyDescent="0.3">
      <c r="A981" s="4">
        <v>34</v>
      </c>
    </row>
    <row r="982" spans="1:1" x14ac:dyDescent="0.3">
      <c r="A982" s="4">
        <v>9</v>
      </c>
    </row>
    <row r="983" spans="1:1" x14ac:dyDescent="0.3">
      <c r="A983" s="4">
        <v>112</v>
      </c>
    </row>
    <row r="984" spans="1:1" x14ac:dyDescent="0.3">
      <c r="A984" s="4">
        <v>261</v>
      </c>
    </row>
    <row r="985" spans="1:1" x14ac:dyDescent="0.3">
      <c r="A985" s="4">
        <v>232</v>
      </c>
    </row>
    <row r="986" spans="1:1" x14ac:dyDescent="0.3">
      <c r="A986" s="4">
        <v>67</v>
      </c>
    </row>
    <row r="987" spans="1:1" x14ac:dyDescent="0.3">
      <c r="A987" s="4">
        <v>48</v>
      </c>
    </row>
    <row r="988" spans="1:1" x14ac:dyDescent="0.3">
      <c r="A988" s="4">
        <v>135</v>
      </c>
    </row>
    <row r="989" spans="1:1" x14ac:dyDescent="0.3">
      <c r="A989" s="4">
        <v>89</v>
      </c>
    </row>
    <row r="990" spans="1:1" x14ac:dyDescent="0.3">
      <c r="A990" s="4">
        <v>230</v>
      </c>
    </row>
    <row r="991" spans="1:1" x14ac:dyDescent="0.3">
      <c r="A991" s="4">
        <v>30</v>
      </c>
    </row>
    <row r="992" spans="1:1" x14ac:dyDescent="0.3">
      <c r="A992" s="4">
        <v>233</v>
      </c>
    </row>
    <row r="993" spans="1:1" x14ac:dyDescent="0.3">
      <c r="A993" s="4">
        <v>161</v>
      </c>
    </row>
    <row r="994" spans="1:1" x14ac:dyDescent="0.3">
      <c r="A994" s="4">
        <v>176</v>
      </c>
    </row>
    <row r="995" spans="1:1" x14ac:dyDescent="0.3">
      <c r="A995" s="4">
        <v>17</v>
      </c>
    </row>
    <row r="996" spans="1:1" x14ac:dyDescent="0.3">
      <c r="A996" s="4">
        <v>206</v>
      </c>
    </row>
    <row r="997" spans="1:1" x14ac:dyDescent="0.3">
      <c r="A997" s="4">
        <v>12</v>
      </c>
    </row>
    <row r="998" spans="1:1" x14ac:dyDescent="0.3">
      <c r="A998" s="4">
        <v>96</v>
      </c>
    </row>
    <row r="999" spans="1:1" x14ac:dyDescent="0.3">
      <c r="A999" s="4">
        <v>66</v>
      </c>
    </row>
    <row r="1000" spans="1:1" x14ac:dyDescent="0.3">
      <c r="A1000" s="4">
        <v>124</v>
      </c>
    </row>
    <row r="1001" spans="1:1" x14ac:dyDescent="0.3">
      <c r="A1001" s="4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F27E-2F8E-4AFA-BFAF-C150FA41EB86}">
  <dimension ref="A1:F15"/>
  <sheetViews>
    <sheetView zoomScale="130" zoomScaleNormal="130" workbookViewId="0">
      <selection activeCell="C1" sqref="C1"/>
    </sheetView>
  </sheetViews>
  <sheetFormatPr baseColWidth="10" defaultRowHeight="14.4" x14ac:dyDescent="0.3"/>
  <cols>
    <col min="1" max="1" width="18.6640625" style="39" bestFit="1" customWidth="1"/>
    <col min="2" max="3" width="13" style="39" bestFit="1" customWidth="1"/>
    <col min="4" max="4" width="11.5546875" style="39"/>
    <col min="5" max="5" width="18.6640625" style="39" bestFit="1" customWidth="1"/>
    <col min="6" max="6" width="24.5546875" style="39" bestFit="1" customWidth="1"/>
    <col min="7" max="16384" width="11.5546875" style="39"/>
  </cols>
  <sheetData>
    <row r="1" spans="1:6" x14ac:dyDescent="0.3">
      <c r="A1" s="39" t="s">
        <v>37</v>
      </c>
      <c r="B1" s="39" t="s">
        <v>38</v>
      </c>
      <c r="C1" s="39" t="s">
        <v>39</v>
      </c>
    </row>
    <row r="2" spans="1:6" x14ac:dyDescent="0.3">
      <c r="A2" s="40">
        <v>3831548.9999999995</v>
      </c>
      <c r="B2" s="40">
        <v>1631171.4400000023</v>
      </c>
      <c r="C2" s="41">
        <v>0.42572114828754704</v>
      </c>
    </row>
    <row r="6" spans="1:6" x14ac:dyDescent="0.3">
      <c r="A6" s="39" t="s">
        <v>35</v>
      </c>
      <c r="B6" s="39" t="s">
        <v>37</v>
      </c>
      <c r="C6" s="39" t="s">
        <v>38</v>
      </c>
      <c r="E6" s="39" t="s">
        <v>35</v>
      </c>
      <c r="F6" s="39" t="s">
        <v>48</v>
      </c>
    </row>
    <row r="7" spans="1:6" x14ac:dyDescent="0.3">
      <c r="A7" s="42" t="s">
        <v>40</v>
      </c>
      <c r="B7" s="40">
        <v>354847.88999999996</v>
      </c>
      <c r="C7" s="40">
        <v>152908.62999999992</v>
      </c>
      <c r="E7" s="42" t="s">
        <v>40</v>
      </c>
      <c r="F7" s="43">
        <v>18137</v>
      </c>
    </row>
    <row r="8" spans="1:6" x14ac:dyDescent="0.3">
      <c r="A8" s="42" t="s">
        <v>41</v>
      </c>
      <c r="B8" s="40">
        <v>179144.21999999994</v>
      </c>
      <c r="C8" s="40">
        <v>72589.409999999974</v>
      </c>
      <c r="E8" s="42" t="s">
        <v>41</v>
      </c>
      <c r="F8" s="43">
        <v>15364</v>
      </c>
    </row>
    <row r="9" spans="1:6" x14ac:dyDescent="0.3">
      <c r="A9" s="42" t="s">
        <v>42</v>
      </c>
      <c r="B9" s="40">
        <v>393756.54999999987</v>
      </c>
      <c r="C9" s="40">
        <v>165803.36999999985</v>
      </c>
      <c r="E9" s="42" t="s">
        <v>42</v>
      </c>
      <c r="F9" s="43">
        <v>16979</v>
      </c>
    </row>
    <row r="10" spans="1:6" x14ac:dyDescent="0.3">
      <c r="A10" s="42" t="s">
        <v>43</v>
      </c>
      <c r="B10" s="40">
        <v>1238469.79</v>
      </c>
      <c r="C10" s="40">
        <v>522114.46999999986</v>
      </c>
      <c r="E10" s="42" t="s">
        <v>43</v>
      </c>
      <c r="F10" s="43">
        <v>17621</v>
      </c>
    </row>
    <row r="11" spans="1:6" x14ac:dyDescent="0.3">
      <c r="A11" s="42" t="s">
        <v>44</v>
      </c>
      <c r="B11" s="40">
        <v>468877.88</v>
      </c>
      <c r="C11" s="40">
        <v>196571.87</v>
      </c>
      <c r="E11" s="42" t="s">
        <v>44</v>
      </c>
      <c r="F11" s="43">
        <v>18387</v>
      </c>
    </row>
    <row r="12" spans="1:6" x14ac:dyDescent="0.3">
      <c r="A12" s="42" t="s">
        <v>45</v>
      </c>
      <c r="B12" s="40">
        <v>500748.5799999999</v>
      </c>
      <c r="C12" s="40">
        <v>217310.89999999991</v>
      </c>
      <c r="E12" s="42" t="s">
        <v>45</v>
      </c>
      <c r="F12" s="43">
        <v>19704</v>
      </c>
    </row>
    <row r="13" spans="1:6" x14ac:dyDescent="0.3">
      <c r="A13" s="42" t="s">
        <v>46</v>
      </c>
      <c r="B13" s="40">
        <v>473433.52</v>
      </c>
      <c r="C13" s="40">
        <v>204569.77000000014</v>
      </c>
      <c r="E13" s="42" t="s">
        <v>46</v>
      </c>
      <c r="F13" s="43">
        <v>13736</v>
      </c>
    </row>
    <row r="14" spans="1:6" x14ac:dyDescent="0.3">
      <c r="A14" s="42" t="s">
        <v>47</v>
      </c>
      <c r="B14" s="40">
        <v>222270.56999999995</v>
      </c>
      <c r="C14" s="40">
        <v>99303.019999999975</v>
      </c>
      <c r="E14" s="42" t="s">
        <v>47</v>
      </c>
      <c r="F14" s="43">
        <v>17112</v>
      </c>
    </row>
    <row r="15" spans="1:6" x14ac:dyDescent="0.3">
      <c r="A15" s="42" t="s">
        <v>36</v>
      </c>
      <c r="B15" s="40">
        <v>3831548.9999999995</v>
      </c>
      <c r="C15" s="40">
        <v>1631171.4400000023</v>
      </c>
      <c r="E15" s="42" t="s">
        <v>36</v>
      </c>
      <c r="F15" s="43">
        <v>137040</v>
      </c>
    </row>
  </sheetData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B246-D92D-4D8C-ACAA-39BB6BF76519}">
  <dimension ref="A3:F7"/>
  <sheetViews>
    <sheetView showGridLines="0" tabSelected="1" workbookViewId="0">
      <selection activeCell="A8" sqref="A8"/>
    </sheetView>
  </sheetViews>
  <sheetFormatPr baseColWidth="10" defaultRowHeight="14.4" x14ac:dyDescent="0.3"/>
  <cols>
    <col min="1" max="16384" width="11.5546875" style="38"/>
  </cols>
  <sheetData>
    <row r="3" spans="1:6" ht="15" thickBot="1" x14ac:dyDescent="0.35"/>
    <row r="4" spans="1:6" x14ac:dyDescent="0.3">
      <c r="A4" s="44" t="s">
        <v>37</v>
      </c>
      <c r="B4" s="45"/>
      <c r="C4" s="46" t="s">
        <v>38</v>
      </c>
      <c r="D4" s="45"/>
      <c r="E4" s="46" t="s">
        <v>39</v>
      </c>
      <c r="F4" s="47"/>
    </row>
    <row r="5" spans="1:6" x14ac:dyDescent="0.3">
      <c r="A5" s="48">
        <f>GETPIVOTDATA("[Measures].[Total Ventas]",TD_Dashboard!$A$1)</f>
        <v>3831548.9999999995</v>
      </c>
      <c r="B5" s="49"/>
      <c r="C5" s="50">
        <f>GETPIVOTDATA("[Measures].[Margen Neto]",TD_Dashboard!$A$1)</f>
        <v>1631171.4400000023</v>
      </c>
      <c r="D5" s="49"/>
      <c r="E5" s="51">
        <f>GETPIVOTDATA("[Measures].[% Margen Ganancia]",TD_Dashboard!$A$1)</f>
        <v>0.42572114828754704</v>
      </c>
      <c r="F5" s="52"/>
    </row>
    <row r="6" spans="1:6" x14ac:dyDescent="0.3">
      <c r="A6" s="53"/>
      <c r="B6" s="54"/>
      <c r="C6" s="55"/>
      <c r="D6" s="54"/>
      <c r="E6" s="56"/>
      <c r="F6" s="57"/>
    </row>
    <row r="7" spans="1:6" ht="15" thickBot="1" x14ac:dyDescent="0.35">
      <c r="A7" s="58"/>
      <c r="B7" s="59"/>
      <c r="C7" s="60"/>
      <c r="D7" s="59"/>
      <c r="E7" s="61"/>
      <c r="F7" s="62"/>
    </row>
  </sheetData>
  <mergeCells count="6">
    <mergeCell ref="A5:B7"/>
    <mergeCell ref="C5:D7"/>
    <mergeCell ref="E5:F7"/>
    <mergeCell ref="A4:B4"/>
    <mergeCell ref="C4:D4"/>
    <mergeCell ref="E4:F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AC74-D23E-4892-88E4-25AB55A0D72C}">
  <sheetPr>
    <outlinePr summaryBelow="0"/>
  </sheetPr>
  <dimension ref="B1:G11"/>
  <sheetViews>
    <sheetView showGridLines="0" workbookViewId="0">
      <selection activeCell="B6" sqref="B6:C6"/>
    </sheetView>
  </sheetViews>
  <sheetFormatPr baseColWidth="10" defaultRowHeight="14.4" outlineLevelRow="1" outlineLevelCol="1" x14ac:dyDescent="0.3"/>
  <cols>
    <col min="3" max="3" width="9.33203125" customWidth="1"/>
    <col min="4" max="7" width="13.88671875" bestFit="1" customWidth="1" outlineLevel="1"/>
  </cols>
  <sheetData>
    <row r="1" spans="2:7" ht="15" thickBot="1" x14ac:dyDescent="0.35"/>
    <row r="2" spans="2:7" ht="15.6" x14ac:dyDescent="0.3">
      <c r="B2" s="29" t="s">
        <v>27</v>
      </c>
      <c r="C2" s="29"/>
      <c r="D2" s="32"/>
      <c r="E2" s="32"/>
      <c r="F2" s="32"/>
      <c r="G2" s="32"/>
    </row>
    <row r="3" spans="2:7" ht="15.6" collapsed="1" x14ac:dyDescent="0.3">
      <c r="B3" s="28"/>
      <c r="C3" s="28"/>
      <c r="D3" s="33" t="s">
        <v>29</v>
      </c>
      <c r="E3" s="33" t="s">
        <v>23</v>
      </c>
      <c r="F3" s="33" t="s">
        <v>25</v>
      </c>
      <c r="G3" s="33" t="s">
        <v>26</v>
      </c>
    </row>
    <row r="4" spans="2:7" ht="64.8" hidden="1" outlineLevel="1" x14ac:dyDescent="0.3">
      <c r="B4" s="30"/>
      <c r="C4" s="30"/>
      <c r="E4" s="35" t="s">
        <v>24</v>
      </c>
      <c r="F4" s="35" t="s">
        <v>34</v>
      </c>
      <c r="G4" s="35" t="s">
        <v>34</v>
      </c>
    </row>
    <row r="5" spans="2:7" x14ac:dyDescent="0.3">
      <c r="B5" s="31" t="s">
        <v>28</v>
      </c>
      <c r="C5" s="31"/>
      <c r="D5" s="1"/>
      <c r="E5" s="1"/>
      <c r="F5" s="1"/>
      <c r="G5" s="1"/>
    </row>
    <row r="6" spans="2:7" outlineLevel="1" x14ac:dyDescent="0.3">
      <c r="B6" s="37" t="s">
        <v>19</v>
      </c>
      <c r="C6" s="37"/>
      <c r="D6" s="26">
        <v>0</v>
      </c>
      <c r="E6" s="34">
        <v>0</v>
      </c>
      <c r="F6" s="34">
        <v>0.15</v>
      </c>
      <c r="G6" s="34">
        <v>-0.1</v>
      </c>
    </row>
    <row r="7" spans="2:7" x14ac:dyDescent="0.3">
      <c r="B7" s="31" t="s">
        <v>30</v>
      </c>
      <c r="C7" s="31"/>
      <c r="D7" s="1"/>
      <c r="E7" s="1"/>
      <c r="F7" s="1"/>
      <c r="G7" s="1"/>
    </row>
    <row r="8" spans="2:7" ht="15" outlineLevel="1" thickBot="1" x14ac:dyDescent="0.35">
      <c r="B8" s="36" t="s">
        <v>22</v>
      </c>
      <c r="C8" s="36"/>
      <c r="D8" s="27">
        <v>5000</v>
      </c>
      <c r="E8" s="27">
        <v>5000</v>
      </c>
      <c r="F8" s="27">
        <v>4250</v>
      </c>
      <c r="G8" s="27">
        <v>5500</v>
      </c>
    </row>
    <row r="9" spans="2:7" x14ac:dyDescent="0.3">
      <c r="B9" t="s">
        <v>31</v>
      </c>
    </row>
    <row r="10" spans="2:7" x14ac:dyDescent="0.3">
      <c r="B10" t="s">
        <v>32</v>
      </c>
    </row>
    <row r="11" spans="2:7" x14ac:dyDescent="0.3">
      <c r="B11" t="s">
        <v>33</v>
      </c>
    </row>
  </sheetData>
  <mergeCells count="2">
    <mergeCell ref="B8:C8"/>
    <mergeCell ref="B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15CC-DFE2-48D1-84A2-B3F9599F4220}">
  <dimension ref="A1:B8"/>
  <sheetViews>
    <sheetView workbookViewId="0">
      <selection activeCell="B8" sqref="B8"/>
    </sheetView>
  </sheetViews>
  <sheetFormatPr baseColWidth="10" defaultRowHeight="14.4" x14ac:dyDescent="0.3"/>
  <cols>
    <col min="1" max="1" width="32.44140625" customWidth="1"/>
    <col min="2" max="2" width="17.5546875" customWidth="1"/>
  </cols>
  <sheetData>
    <row r="1" spans="1:2" x14ac:dyDescent="0.3">
      <c r="A1" s="20" t="s">
        <v>14</v>
      </c>
      <c r="B1" s="14" t="s">
        <v>15</v>
      </c>
    </row>
    <row r="2" spans="1:2" x14ac:dyDescent="0.3">
      <c r="A2" s="21" t="s">
        <v>16</v>
      </c>
      <c r="B2" s="15">
        <v>249.99999999999997</v>
      </c>
    </row>
    <row r="3" spans="1:2" x14ac:dyDescent="0.3">
      <c r="A3" s="21" t="s">
        <v>17</v>
      </c>
      <c r="B3" s="16">
        <v>40</v>
      </c>
    </row>
    <row r="4" spans="1:2" x14ac:dyDescent="0.3">
      <c r="A4" s="21" t="s">
        <v>18</v>
      </c>
      <c r="B4" s="16">
        <v>20</v>
      </c>
    </row>
    <row r="5" spans="1:2" x14ac:dyDescent="0.3">
      <c r="A5" s="21" t="s">
        <v>19</v>
      </c>
      <c r="B5" s="25">
        <v>0</v>
      </c>
    </row>
    <row r="6" spans="1:2" x14ac:dyDescent="0.3">
      <c r="A6" s="22" t="s">
        <v>20</v>
      </c>
      <c r="B6" s="17">
        <f>B2*B3</f>
        <v>9999.9999999999982</v>
      </c>
    </row>
    <row r="7" spans="1:2" ht="15" thickBot="1" x14ac:dyDescent="0.35">
      <c r="A7" s="23" t="s">
        <v>21</v>
      </c>
      <c r="B7" s="18">
        <f>(B2*B4)*(1+B5)</f>
        <v>4999.9999999999991</v>
      </c>
    </row>
    <row r="8" spans="1:2" ht="15" thickTop="1" x14ac:dyDescent="0.3">
      <c r="A8" s="24" t="s">
        <v>22</v>
      </c>
      <c r="B8" s="19">
        <f>B6-B7</f>
        <v>4999.9999999999991</v>
      </c>
    </row>
  </sheetData>
  <scenarios current="2" show="0" sqref="B8">
    <scenario name="Base" locked="1" count="1" user="German Agustin Solis" comment="Creado por German Agustin Solis el 15/9/2026">
      <inputCells r="B5" val="0" numFmtId="168"/>
    </scenario>
    <scenario name="Pesimista" locked="1" count="1" user="German Agustin Solis" comment="Creado por German Agustin Solis el 15/9/2026_x000a_Modificado por German Agustin Solis el 15/9/2026">
      <inputCells r="B5" val="0,15" numFmtId="168"/>
    </scenario>
    <scenario name="Optimista" locked="1" count="1" user="German Agustin Solis" comment="Creado por German Agustin Solis el 15/9/2026_x000a_Modificado por German Agustin Solis el 15/9/2026">
      <inputCells r="B5" val="-0,1" numFmtId="168"/>
    </scenario>
  </scenario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Props1.xml><?xml version="1.0" encoding="utf-8"?>
<ds:datastoreItem xmlns:ds="http://schemas.openxmlformats.org/officeDocument/2006/customXml" ds:itemID="{2046D3E5-B49B-4601-BC40-A166F6CEAEE7}">
  <ds:schemaRefs/>
</ds:datastoreItem>
</file>

<file path=customXml/itemProps2.xml><?xml version="1.0" encoding="utf-8"?>
<ds:datastoreItem xmlns:ds="http://schemas.openxmlformats.org/officeDocument/2006/customXml" ds:itemID="{9951AAAD-9DAE-40F0-B5C1-0907ED218848}">
  <ds:schemaRefs/>
</ds:datastoreItem>
</file>

<file path=customXml/itemProps3.xml><?xml version="1.0" encoding="utf-8"?>
<ds:datastoreItem xmlns:ds="http://schemas.openxmlformats.org/officeDocument/2006/customXml" ds:itemID="{9ECDE24B-158A-48B2-9B94-A11CC6980E08}">
  <ds:schemaRefs/>
</ds:datastoreItem>
</file>

<file path=customXml/itemProps4.xml><?xml version="1.0" encoding="utf-8"?>
<ds:datastoreItem xmlns:ds="http://schemas.openxmlformats.org/officeDocument/2006/customXml" ds:itemID="{A038FB0B-56E3-4B33-9261-808E7B4566DC}">
  <ds:schemaRefs/>
</ds:datastoreItem>
</file>

<file path=customXml/itemProps5.xml><?xml version="1.0" encoding="utf-8"?>
<ds:datastoreItem xmlns:ds="http://schemas.openxmlformats.org/officeDocument/2006/customXml" ds:itemID="{DA70B6EE-FC41-44C1-88D2-3F2FB7EA086C}">
  <ds:schemaRefs/>
</ds:datastoreItem>
</file>

<file path=customXml/itemProps6.xml><?xml version="1.0" encoding="utf-8"?>
<ds:datastoreItem xmlns:ds="http://schemas.openxmlformats.org/officeDocument/2006/customXml" ds:itemID="{A58B3D32-C794-42C1-BDC1-183FB2C3EFF1}">
  <ds:schemaRefs/>
</ds:datastoreItem>
</file>

<file path=customXml/itemProps7.xml><?xml version="1.0" encoding="utf-8"?>
<ds:datastoreItem xmlns:ds="http://schemas.openxmlformats.org/officeDocument/2006/customXml" ds:itemID="{B9138238-367D-4FA8-A9CF-453A3A7CDDF9}">
  <ds:schemaRefs/>
</ds:datastoreItem>
</file>

<file path=customXml/itemProps8.xml><?xml version="1.0" encoding="utf-8"?>
<ds:datastoreItem xmlns:ds="http://schemas.openxmlformats.org/officeDocument/2006/customXml" ds:itemID="{E459A099-37D5-40B5-9934-6FAB5B43E4DA}">
  <ds:schemaRefs/>
</ds:datastoreItem>
</file>

<file path=customXml/itemProps9.xml><?xml version="1.0" encoding="utf-8"?>
<ds:datastoreItem xmlns:ds="http://schemas.openxmlformats.org/officeDocument/2006/customXml" ds:itemID="{0017E6A2-464F-40C3-8A57-AA0D3B9100EF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A06CCF3E-8424-47F0-B2F8-4F288F50A30A}">
  <ds:schemaRefs/>
</ds:datastoreItem>
</file>

<file path=customXml/itemProps11.xml><?xml version="1.0" encoding="utf-8"?>
<ds:datastoreItem xmlns:ds="http://schemas.openxmlformats.org/officeDocument/2006/customXml" ds:itemID="{96528A9D-6D86-44BA-BE44-1480C9D73023}">
  <ds:schemaRefs/>
</ds:datastoreItem>
</file>

<file path=customXml/itemProps12.xml><?xml version="1.0" encoding="utf-8"?>
<ds:datastoreItem xmlns:ds="http://schemas.openxmlformats.org/officeDocument/2006/customXml" ds:itemID="{564006BC-3620-4B51-B133-6706A50D8FE3}">
  <ds:schemaRefs/>
</ds:datastoreItem>
</file>

<file path=customXml/itemProps13.xml><?xml version="1.0" encoding="utf-8"?>
<ds:datastoreItem xmlns:ds="http://schemas.openxmlformats.org/officeDocument/2006/customXml" ds:itemID="{E10C17C5-683E-417B-AA86-7DDE099F4C1F}">
  <ds:schemaRefs/>
</ds:datastoreItem>
</file>

<file path=customXml/itemProps14.xml><?xml version="1.0" encoding="utf-8"?>
<ds:datastoreItem xmlns:ds="http://schemas.openxmlformats.org/officeDocument/2006/customXml" ds:itemID="{E8760A57-E548-4B17-A682-400C0BF84052}">
  <ds:schemaRefs/>
</ds:datastoreItem>
</file>

<file path=customXml/itemProps15.xml><?xml version="1.0" encoding="utf-8"?>
<ds:datastoreItem xmlns:ds="http://schemas.openxmlformats.org/officeDocument/2006/customXml" ds:itemID="{C0C92161-841F-474F-8F57-8015F5E3D2FA}">
  <ds:schemaRefs/>
</ds:datastoreItem>
</file>

<file path=customXml/itemProps16.xml><?xml version="1.0" encoding="utf-8"?>
<ds:datastoreItem xmlns:ds="http://schemas.openxmlformats.org/officeDocument/2006/customXml" ds:itemID="{43318B9C-2B19-47D1-B7DE-81838881DFEF}">
  <ds:schemaRefs/>
</ds:datastoreItem>
</file>

<file path=customXml/itemProps17.xml><?xml version="1.0" encoding="utf-8"?>
<ds:datastoreItem xmlns:ds="http://schemas.openxmlformats.org/officeDocument/2006/customXml" ds:itemID="{C4A11648-4F96-4A05-A8B2-C1C4120A1BA7}">
  <ds:schemaRefs/>
</ds:datastoreItem>
</file>

<file path=customXml/itemProps18.xml><?xml version="1.0" encoding="utf-8"?>
<ds:datastoreItem xmlns:ds="http://schemas.openxmlformats.org/officeDocument/2006/customXml" ds:itemID="{EB3AE642-80DB-4307-9E51-6BF285D3D367}">
  <ds:schemaRefs/>
</ds:datastoreItem>
</file>

<file path=customXml/itemProps19.xml><?xml version="1.0" encoding="utf-8"?>
<ds:datastoreItem xmlns:ds="http://schemas.openxmlformats.org/officeDocument/2006/customXml" ds:itemID="{6C300728-79D3-409E-BFCC-0F734884F20B}">
  <ds:schemaRefs/>
</ds:datastoreItem>
</file>

<file path=customXml/itemProps20.xml><?xml version="1.0" encoding="utf-8"?>
<ds:datastoreItem xmlns:ds="http://schemas.openxmlformats.org/officeDocument/2006/customXml" ds:itemID="{214B7A9E-ABC1-4CCA-88B8-B78FF2FD0E4F}">
  <ds:schemaRefs/>
</ds:datastoreItem>
</file>

<file path=customXml/itemProps21.xml><?xml version="1.0" encoding="utf-8"?>
<ds:datastoreItem xmlns:ds="http://schemas.openxmlformats.org/officeDocument/2006/customXml" ds:itemID="{95EF63A9-27C7-4FBD-B786-449F5979B1DE}">
  <ds:schemaRefs/>
</ds:datastoreItem>
</file>

<file path=customXml/itemProps22.xml><?xml version="1.0" encoding="utf-8"?>
<ds:datastoreItem xmlns:ds="http://schemas.openxmlformats.org/officeDocument/2006/customXml" ds:itemID="{C1D2583A-6B59-491D-8F4B-1C159EED03F3}">
  <ds:schemaRefs/>
</ds:datastoreItem>
</file>

<file path=customXml/itemProps23.xml><?xml version="1.0" encoding="utf-8"?>
<ds:datastoreItem xmlns:ds="http://schemas.openxmlformats.org/officeDocument/2006/customXml" ds:itemID="{5E4B60D9-543A-44C3-957A-0E537D785FBA}">
  <ds:schemaRefs/>
</ds:datastoreItem>
</file>

<file path=customXml/itemProps24.xml><?xml version="1.0" encoding="utf-8"?>
<ds:datastoreItem xmlns:ds="http://schemas.openxmlformats.org/officeDocument/2006/customXml" ds:itemID="{116D2143-5D80-4D15-86DC-E94C341E8D76}">
  <ds:schemaRefs/>
</ds:datastoreItem>
</file>

<file path=customXml/itemProps25.xml><?xml version="1.0" encoding="utf-8"?>
<ds:datastoreItem xmlns:ds="http://schemas.openxmlformats.org/officeDocument/2006/customXml" ds:itemID="{F5363989-8B93-40C8-8D41-3D0E22EDA1C2}">
  <ds:schemaRefs/>
</ds:datastoreItem>
</file>

<file path=customXml/itemProps26.xml><?xml version="1.0" encoding="utf-8"?>
<ds:datastoreItem xmlns:ds="http://schemas.openxmlformats.org/officeDocument/2006/customXml" ds:itemID="{C83CDFAD-3D8A-4F0D-B9A5-F1AE83D697AB}">
  <ds:schemaRefs/>
</ds:datastoreItem>
</file>

<file path=customXml/itemProps27.xml><?xml version="1.0" encoding="utf-8"?>
<ds:datastoreItem xmlns:ds="http://schemas.openxmlformats.org/officeDocument/2006/customXml" ds:itemID="{8E50AB3B-018A-46C8-84BD-C134A9383CCF}">
  <ds:schemaRefs/>
</ds:datastoreItem>
</file>

<file path=customXml/itemProps28.xml><?xml version="1.0" encoding="utf-8"?>
<ds:datastoreItem xmlns:ds="http://schemas.openxmlformats.org/officeDocument/2006/customXml" ds:itemID="{1733FA53-A317-41CB-9A2B-682A1A3D08F0}">
  <ds:schemaRefs/>
</ds:datastoreItem>
</file>

<file path=customXml/itemProps29.xml><?xml version="1.0" encoding="utf-8"?>
<ds:datastoreItem xmlns:ds="http://schemas.openxmlformats.org/officeDocument/2006/customXml" ds:itemID="{9DC72CBD-2907-4524-BB75-3BF9323A466E}">
  <ds:schemaRefs/>
</ds:datastoreItem>
</file>

<file path=customXml/itemProps30.xml><?xml version="1.0" encoding="utf-8"?>
<ds:datastoreItem xmlns:ds="http://schemas.openxmlformats.org/officeDocument/2006/customXml" ds:itemID="{586F5B4D-C9B9-49C2-AB22-2C44D58FD3A8}">
  <ds:schemaRefs/>
</ds:datastoreItem>
</file>

<file path=customXml/itemProps31.xml><?xml version="1.0" encoding="utf-8"?>
<ds:datastoreItem xmlns:ds="http://schemas.openxmlformats.org/officeDocument/2006/customXml" ds:itemID="{576D0B9C-D9A3-4B7A-A69F-0B41B552FE61}">
  <ds:schemaRefs/>
</ds:datastoreItem>
</file>

<file path=customXml/itemProps32.xml><?xml version="1.0" encoding="utf-8"?>
<ds:datastoreItem xmlns:ds="http://schemas.openxmlformats.org/officeDocument/2006/customXml" ds:itemID="{ED5AC782-7DCF-43F9-AAEF-9D1F51775C39}">
  <ds:schemaRefs/>
</ds:datastoreItem>
</file>

<file path=customXml/itemProps33.xml><?xml version="1.0" encoding="utf-8"?>
<ds:datastoreItem xmlns:ds="http://schemas.openxmlformats.org/officeDocument/2006/customXml" ds:itemID="{A63F172F-B68A-4CB9-9499-BF41D63CB9D9}">
  <ds:schemaRefs/>
</ds:datastoreItem>
</file>

<file path=customXml/itemProps34.xml><?xml version="1.0" encoding="utf-8"?>
<ds:datastoreItem xmlns:ds="http://schemas.openxmlformats.org/officeDocument/2006/customXml" ds:itemID="{5F44E334-9428-4115-A8B1-B57A1F3F86FA}">
  <ds:schemaRefs/>
</ds:datastoreItem>
</file>

<file path=customXml/itemProps35.xml><?xml version="1.0" encoding="utf-8"?>
<ds:datastoreItem xmlns:ds="http://schemas.openxmlformats.org/officeDocument/2006/customXml" ds:itemID="{95FB2A54-1282-4DD3-9624-71D11ED2644B}">
  <ds:schemaRefs/>
</ds:datastoreItem>
</file>

<file path=customXml/itemProps36.xml><?xml version="1.0" encoding="utf-8"?>
<ds:datastoreItem xmlns:ds="http://schemas.openxmlformats.org/officeDocument/2006/customXml" ds:itemID="{1DC17969-C2C8-4439-886B-51BE1995B36B}">
  <ds:schemaRefs/>
</ds:datastoreItem>
</file>

<file path=customXml/itemProps37.xml><?xml version="1.0" encoding="utf-8"?>
<ds:datastoreItem xmlns:ds="http://schemas.openxmlformats.org/officeDocument/2006/customXml" ds:itemID="{CC978F02-C8EF-415C-8A29-53938E342EF3}">
  <ds:schemaRefs/>
</ds:datastoreItem>
</file>

<file path=customXml/itemProps38.xml><?xml version="1.0" encoding="utf-8"?>
<ds:datastoreItem xmlns:ds="http://schemas.openxmlformats.org/officeDocument/2006/customXml" ds:itemID="{55C71C9B-5B53-4CCB-8586-16E073E8EB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Estadistica_Descriptiva</vt:lpstr>
      <vt:lpstr>TD_Dashboard</vt:lpstr>
      <vt:lpstr>Dashboard Final</vt:lpstr>
      <vt:lpstr>Resumen del escenario</vt:lpstr>
      <vt:lpstr>Simulacion_Financiera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Agustin Solis</dc:creator>
  <cp:lastModifiedBy>German Agustin Solis</cp:lastModifiedBy>
  <dcterms:created xsi:type="dcterms:W3CDTF">2026-09-15T18:37:29Z</dcterms:created>
  <dcterms:modified xsi:type="dcterms:W3CDTF">2026-09-16T00:10:49Z</dcterms:modified>
</cp:coreProperties>
</file>